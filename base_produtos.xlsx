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pcp\Desktop\sistema_producao\"/>
    </mc:Choice>
  </mc:AlternateContent>
  <bookViews>
    <workbookView xWindow="-120" yWindow="-120" windowWidth="21840" windowHeight="13140" tabRatio="960"/>
  </bookViews>
  <sheets>
    <sheet name="planejamento" sheetId="1" r:id="rId1"/>
    <sheet name="TAB CXUNID" sheetId="26" state="hidden" r:id="rId2"/>
    <sheet name="atacadão" sheetId="8" state="hidden" r:id="rId3"/>
    <sheet name="sleeve antigo" sheetId="10" state="hidden" r:id="rId4"/>
    <sheet name="RELATORIO 2" sheetId="16" state="hidden" r:id="rId5"/>
    <sheet name="Plan2" sheetId="23" state="hidden" r:id="rId6"/>
    <sheet name="DADOS" sheetId="2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1" l="1"/>
  <c r="S28" i="1"/>
  <c r="R28" i="1"/>
  <c r="R7" i="1" l="1"/>
  <c r="S7" i="1"/>
  <c r="Y7" i="1"/>
  <c r="R8" i="1"/>
  <c r="S8" i="1"/>
  <c r="Y8" i="1"/>
  <c r="R9" i="1"/>
  <c r="S9" i="1"/>
  <c r="Y9" i="1"/>
  <c r="R10" i="1"/>
  <c r="S10" i="1"/>
  <c r="Y10" i="1"/>
  <c r="Y18" i="1" l="1"/>
  <c r="Y51" i="1"/>
  <c r="Y6" i="1"/>
  <c r="Y67" i="1"/>
  <c r="Y19" i="1"/>
  <c r="Y58" i="1"/>
  <c r="Y5" i="1"/>
  <c r="Y4" i="1"/>
  <c r="Y44" i="1"/>
  <c r="Y48" i="1"/>
  <c r="Y68" i="1"/>
  <c r="Y69" i="1"/>
  <c r="Y71" i="1"/>
  <c r="Y20" i="1"/>
  <c r="Y29" i="1"/>
  <c r="Y72" i="1"/>
  <c r="Y54" i="1"/>
  <c r="Y3" i="1"/>
  <c r="Y52" i="1"/>
  <c r="Y21" i="1"/>
  <c r="Y23" i="1"/>
  <c r="Y30" i="1"/>
  <c r="Y55" i="1"/>
  <c r="Y22" i="1"/>
  <c r="Y14" i="1"/>
  <c r="Y27" i="1"/>
  <c r="Y26" i="1"/>
  <c r="Y45" i="1"/>
  <c r="Y34" i="1"/>
  <c r="Y13" i="1"/>
  <c r="Y60" i="1"/>
  <c r="Y12" i="1"/>
  <c r="Y31" i="1"/>
  <c r="Y32" i="1"/>
  <c r="Y33" i="1"/>
  <c r="Y25" i="1"/>
  <c r="Y43" i="1"/>
  <c r="Y24" i="1"/>
  <c r="Y66" i="1"/>
  <c r="Y11" i="1"/>
  <c r="Y36" i="1"/>
  <c r="Y63" i="1"/>
  <c r="Y17" i="1"/>
  <c r="Y42" i="1"/>
  <c r="Y65" i="1"/>
  <c r="Y49" i="1"/>
  <c r="Y59" i="1"/>
  <c r="Y41" i="1"/>
  <c r="Y46" i="1"/>
  <c r="Y61" i="1"/>
  <c r="Y62" i="1"/>
  <c r="Y16" i="1"/>
  <c r="Y39" i="1"/>
  <c r="Y40" i="1"/>
  <c r="Y57" i="1"/>
  <c r="Y47" i="1"/>
  <c r="Y35" i="1"/>
  <c r="Y53" i="1"/>
  <c r="Y38" i="1"/>
  <c r="Y50" i="1"/>
  <c r="Y64" i="1"/>
  <c r="Y70" i="1"/>
  <c r="Y15" i="1"/>
  <c r="Y37" i="1"/>
  <c r="Y56" i="1"/>
  <c r="Y73" i="1" l="1"/>
  <c r="R3" i="1" l="1"/>
  <c r="R4" i="1"/>
  <c r="R5" i="1"/>
  <c r="R6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F1" i="1" l="1"/>
  <c r="S66" i="1" l="1"/>
  <c r="T71" i="1" l="1"/>
  <c r="S71" i="1" s="1"/>
  <c r="T67" i="1"/>
  <c r="T68" i="1"/>
  <c r="T70" i="1"/>
  <c r="T72" i="1"/>
  <c r="T69" i="1"/>
  <c r="S15" i="1" l="1"/>
  <c r="S16" i="1"/>
  <c r="S17" i="1"/>
  <c r="S67" i="1" l="1"/>
  <c r="S68" i="1"/>
  <c r="S69" i="1"/>
  <c r="S70" i="1"/>
  <c r="S72" i="1"/>
  <c r="S65" i="1"/>
  <c r="G73" i="1" l="1"/>
  <c r="S3" i="1" l="1"/>
  <c r="S4" i="1"/>
  <c r="S5" i="1"/>
  <c r="S6" i="1"/>
  <c r="S11" i="1"/>
  <c r="S12" i="1"/>
  <c r="S13" i="1"/>
  <c r="S14" i="1"/>
  <c r="S18" i="1"/>
  <c r="S19" i="1"/>
  <c r="S20" i="1"/>
  <c r="S21" i="1"/>
  <c r="S22" i="1"/>
  <c r="S23" i="1"/>
  <c r="S24" i="1"/>
  <c r="S25" i="1"/>
  <c r="S26" i="1"/>
  <c r="S27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4" i="1"/>
  <c r="S63" i="1"/>
  <c r="M73" i="1" l="1"/>
  <c r="C77" i="10" l="1"/>
  <c r="C76" i="10"/>
  <c r="C78" i="10"/>
  <c r="C74" i="10"/>
  <c r="C73" i="10"/>
  <c r="C75" i="10"/>
  <c r="C71" i="10"/>
  <c r="C70" i="10"/>
  <c r="C72" i="10"/>
  <c r="C68" i="10"/>
  <c r="C67" i="10"/>
  <c r="C69" i="10"/>
  <c r="F68" i="10" l="1"/>
  <c r="J68" i="10" s="1"/>
  <c r="K68" i="10" s="1"/>
  <c r="F69" i="10"/>
  <c r="J69" i="10" s="1"/>
  <c r="K69" i="10" s="1"/>
  <c r="F70" i="10"/>
  <c r="J70" i="10" s="1"/>
  <c r="K70" i="10" s="1"/>
  <c r="F71" i="10"/>
  <c r="J71" i="10" s="1"/>
  <c r="K71" i="10" s="1"/>
  <c r="F72" i="10"/>
  <c r="J72" i="10" s="1"/>
  <c r="K72" i="10" s="1"/>
  <c r="F73" i="10"/>
  <c r="J73" i="10" s="1"/>
  <c r="K73" i="10" s="1"/>
  <c r="F74" i="10"/>
  <c r="H74" i="10" s="1"/>
  <c r="F75" i="10"/>
  <c r="J75" i="10" s="1"/>
  <c r="K75" i="10" s="1"/>
  <c r="F76" i="10"/>
  <c r="H76" i="10" s="1"/>
  <c r="F77" i="10"/>
  <c r="J77" i="10" s="1"/>
  <c r="K77" i="10" s="1"/>
  <c r="F78" i="10"/>
  <c r="J78" i="10" s="1"/>
  <c r="K78" i="10" s="1"/>
  <c r="F67" i="10"/>
  <c r="H67" i="10" s="1"/>
  <c r="J67" i="10" l="1"/>
  <c r="K67" i="10" s="1"/>
  <c r="J74" i="10"/>
  <c r="K74" i="10" s="1"/>
  <c r="H68" i="10"/>
  <c r="H72" i="10"/>
  <c r="H69" i="10"/>
  <c r="H77" i="10"/>
  <c r="H71" i="10"/>
  <c r="J76" i="10"/>
  <c r="K76" i="10" s="1"/>
  <c r="H73" i="10"/>
  <c r="H70" i="10"/>
  <c r="H78" i="10"/>
  <c r="H75" i="10"/>
  <c r="F58" i="10"/>
  <c r="J58" i="10" s="1"/>
  <c r="K58" i="10" s="1"/>
  <c r="F4" i="10"/>
  <c r="H4" i="10" s="1"/>
  <c r="F43" i="10"/>
  <c r="H43" i="10" s="1"/>
  <c r="F21" i="10"/>
  <c r="J21" i="10" s="1"/>
  <c r="K21" i="10" s="1"/>
  <c r="F9" i="10"/>
  <c r="H9" i="10" s="1"/>
  <c r="F14" i="10"/>
  <c r="J14" i="10" s="1"/>
  <c r="K14" i="10" s="1"/>
  <c r="F40" i="10"/>
  <c r="J40" i="10" s="1"/>
  <c r="K40" i="10" s="1"/>
  <c r="F15" i="10"/>
  <c r="J15" i="10" s="1"/>
  <c r="K15" i="10" s="1"/>
  <c r="F31" i="10"/>
  <c r="J31" i="10" s="1"/>
  <c r="K31" i="10" s="1"/>
  <c r="F19" i="10"/>
  <c r="J19" i="10" s="1"/>
  <c r="K19" i="10" s="1"/>
  <c r="F13" i="10"/>
  <c r="H13" i="10" s="1"/>
  <c r="F16" i="10"/>
  <c r="J16" i="10" s="1"/>
  <c r="K16" i="10" s="1"/>
  <c r="F32" i="10"/>
  <c r="H32" i="10" s="1"/>
  <c r="F23" i="10"/>
  <c r="H23" i="10" s="1"/>
  <c r="F33" i="10"/>
  <c r="H33" i="10" s="1"/>
  <c r="F18" i="10"/>
  <c r="J18" i="10" s="1"/>
  <c r="K18" i="10" s="1"/>
  <c r="F6" i="10"/>
  <c r="H6" i="10" s="1"/>
  <c r="F22" i="10"/>
  <c r="J22" i="10" s="1"/>
  <c r="K22" i="10" s="1"/>
  <c r="F34" i="10"/>
  <c r="J34" i="10" s="1"/>
  <c r="K34" i="10" s="1"/>
  <c r="F17" i="10"/>
  <c r="J17" i="10" s="1"/>
  <c r="K17" i="10" s="1"/>
  <c r="F25" i="10"/>
  <c r="H25" i="10" s="1"/>
  <c r="F20" i="10"/>
  <c r="H20" i="10" s="1"/>
  <c r="F5" i="10"/>
  <c r="J5" i="10" s="1"/>
  <c r="K5" i="10" s="1"/>
  <c r="F7" i="10"/>
  <c r="J7" i="10" s="1"/>
  <c r="K7" i="10" s="1"/>
  <c r="F12" i="10"/>
  <c r="J12" i="10" s="1"/>
  <c r="K12" i="10" s="1"/>
  <c r="F55" i="10"/>
  <c r="J55" i="10" s="1"/>
  <c r="K55" i="10" s="1"/>
  <c r="F38" i="10"/>
  <c r="H38" i="10" s="1"/>
  <c r="F57" i="10"/>
  <c r="J57" i="10" s="1"/>
  <c r="K57" i="10" s="1"/>
  <c r="F28" i="10"/>
  <c r="H28" i="10" s="1"/>
  <c r="F3" i="10"/>
  <c r="H3" i="10" s="1"/>
  <c r="F60" i="10"/>
  <c r="H60" i="10" s="1"/>
  <c r="F53" i="10"/>
  <c r="J53" i="10" s="1"/>
  <c r="K53" i="10" s="1"/>
  <c r="F49" i="10"/>
  <c r="H49" i="10" s="1"/>
  <c r="F29" i="10"/>
  <c r="J29" i="10" s="1"/>
  <c r="K29" i="10" s="1"/>
  <c r="F26" i="10"/>
  <c r="H26" i="10" s="1"/>
  <c r="F52" i="10"/>
  <c r="J52" i="10" s="1"/>
  <c r="K52" i="10" s="1"/>
  <c r="F47" i="10"/>
  <c r="H47" i="10" s="1"/>
  <c r="F54" i="10"/>
  <c r="J54" i="10" s="1"/>
  <c r="K54" i="10" s="1"/>
  <c r="F48" i="10"/>
  <c r="J48" i="10" s="1"/>
  <c r="K48" i="10" s="1"/>
  <c r="F56" i="10"/>
  <c r="H56" i="10" s="1"/>
  <c r="F59" i="10"/>
  <c r="H59" i="10" s="1"/>
  <c r="F8" i="10"/>
  <c r="J8" i="10" s="1"/>
  <c r="K8" i="10" s="1"/>
  <c r="F27" i="10"/>
  <c r="J27" i="10" s="1"/>
  <c r="K27" i="10" s="1"/>
  <c r="F11" i="10"/>
  <c r="J11" i="10" s="1"/>
  <c r="K11" i="10" s="1"/>
  <c r="F61" i="10"/>
  <c r="J61" i="10" s="1"/>
  <c r="K61" i="10" s="1"/>
  <c r="F51" i="10"/>
  <c r="H51" i="10" s="1"/>
  <c r="F10" i="10"/>
  <c r="J10" i="10" s="1"/>
  <c r="K10" i="10" s="1"/>
  <c r="F41" i="10"/>
  <c r="J41" i="10" s="1"/>
  <c r="K41" i="10" s="1"/>
  <c r="F46" i="10"/>
  <c r="J46" i="10" s="1"/>
  <c r="K46" i="10" s="1"/>
  <c r="F37" i="10"/>
  <c r="J37" i="10" s="1"/>
  <c r="K37" i="10" s="1"/>
  <c r="F50" i="10"/>
  <c r="H50" i="10" s="1"/>
  <c r="F44" i="10"/>
  <c r="J44" i="10" s="1"/>
  <c r="K44" i="10" s="1"/>
  <c r="F36" i="10"/>
  <c r="H36" i="10" s="1"/>
  <c r="F35" i="10"/>
  <c r="H35" i="10" s="1"/>
  <c r="F39" i="10"/>
  <c r="H39" i="10" s="1"/>
  <c r="F42" i="10"/>
  <c r="J42" i="10" s="1"/>
  <c r="K42" i="10" s="1"/>
  <c r="F45" i="10"/>
  <c r="J45" i="10" s="1"/>
  <c r="K45" i="10" s="1"/>
  <c r="F30" i="10"/>
  <c r="J30" i="10" s="1"/>
  <c r="K30" i="10" s="1"/>
  <c r="F24" i="10"/>
  <c r="H24" i="10" s="1"/>
  <c r="H7" i="10"/>
  <c r="H61" i="10"/>
  <c r="H14" i="10"/>
  <c r="H19" i="10"/>
  <c r="J20" i="10"/>
  <c r="K20" i="10" s="1"/>
  <c r="H31" i="10"/>
  <c r="H37" i="10"/>
  <c r="H55" i="10"/>
  <c r="H54" i="10"/>
  <c r="H58" i="10"/>
  <c r="J9" i="10"/>
  <c r="K9" i="10" s="1"/>
  <c r="J28" i="10"/>
  <c r="K28" i="10" s="1"/>
  <c r="J49" i="10"/>
  <c r="K49" i="10" s="1"/>
  <c r="J59" i="10"/>
  <c r="K59" i="10" s="1"/>
  <c r="H46" i="10" l="1"/>
  <c r="J38" i="10"/>
  <c r="K38" i="10" s="1"/>
  <c r="H34" i="10"/>
  <c r="J13" i="10"/>
  <c r="K13" i="10" s="1"/>
  <c r="J3" i="10"/>
  <c r="K3" i="10" s="1"/>
  <c r="J36" i="10"/>
  <c r="K36" i="10" s="1"/>
  <c r="J32" i="10"/>
  <c r="K32" i="10" s="1"/>
  <c r="J6" i="10"/>
  <c r="K6" i="10" s="1"/>
  <c r="H12" i="10"/>
  <c r="J47" i="10"/>
  <c r="K47" i="10" s="1"/>
  <c r="J25" i="10"/>
  <c r="K25" i="10" s="1"/>
  <c r="H45" i="10"/>
  <c r="J50" i="10"/>
  <c r="K50" i="10" s="1"/>
  <c r="H40" i="10"/>
  <c r="H5" i="10"/>
  <c r="J39" i="10"/>
  <c r="K39" i="10" s="1"/>
  <c r="J33" i="10"/>
  <c r="K33" i="10" s="1"/>
  <c r="J26" i="10"/>
  <c r="K26" i="10" s="1"/>
  <c r="H48" i="10"/>
  <c r="H27" i="10"/>
  <c r="J24" i="10"/>
  <c r="K24" i="10" s="1"/>
  <c r="H8" i="10"/>
  <c r="J23" i="10"/>
  <c r="K23" i="10" s="1"/>
  <c r="H22" i="10"/>
  <c r="J51" i="10"/>
  <c r="K51" i="10" s="1"/>
  <c r="H29" i="10"/>
  <c r="J4" i="10"/>
  <c r="K4" i="10" s="1"/>
  <c r="H30" i="10"/>
  <c r="H10" i="10"/>
  <c r="J60" i="10"/>
  <c r="K60" i="10" s="1"/>
  <c r="J43" i="10"/>
  <c r="K43" i="10" s="1"/>
  <c r="H21" i="10"/>
  <c r="J35" i="10"/>
  <c r="K35" i="10" s="1"/>
  <c r="J56" i="10"/>
  <c r="K56" i="10" s="1"/>
  <c r="H42" i="10"/>
  <c r="H16" i="10"/>
  <c r="H17" i="10"/>
  <c r="H57" i="10"/>
  <c r="H53" i="10"/>
  <c r="H41" i="10"/>
  <c r="H11" i="10"/>
  <c r="H52" i="10"/>
  <c r="H44" i="10"/>
  <c r="H18" i="10"/>
  <c r="H15" i="10"/>
  <c r="S73" i="1" l="1"/>
</calcChain>
</file>

<file path=xl/comments1.xml><?xml version="1.0" encoding="utf-8"?>
<comments xmlns="http://schemas.openxmlformats.org/spreadsheetml/2006/main">
  <authors>
    <author>Edvam PCP</author>
  </authors>
  <commentList>
    <comment ref="B39" authorId="0" shapeId="0">
      <text>
        <r>
          <rPr>
            <b/>
            <sz val="9"/>
            <color indexed="81"/>
            <rFont val="Segoe UI"/>
            <family val="2"/>
          </rPr>
          <t>Edvam PCP:</t>
        </r>
        <r>
          <rPr>
            <sz val="9"/>
            <color indexed="81"/>
            <rFont val="Segoe UI"/>
            <family val="2"/>
          </rPr>
          <t xml:space="preserve">
1.970 esleevado com espuma</t>
        </r>
      </text>
    </comment>
    <comment ref="B65" authorId="0" shapeId="0">
      <text>
        <r>
          <rPr>
            <b/>
            <sz val="9"/>
            <color indexed="81"/>
            <rFont val="Segoe UI"/>
            <family val="2"/>
          </rPr>
          <t>Edvam PCP:</t>
        </r>
        <r>
          <rPr>
            <sz val="9"/>
            <color indexed="81"/>
            <rFont val="Segoe UI"/>
            <family val="2"/>
          </rPr>
          <t xml:space="preserve">
2000 potes rotulados
</t>
        </r>
      </text>
    </comment>
  </commentList>
</comments>
</file>

<file path=xl/comments2.xml><?xml version="1.0" encoding="utf-8"?>
<comments xmlns="http://schemas.openxmlformats.org/spreadsheetml/2006/main">
  <authors>
    <author>Allan Montilares</author>
  </authors>
  <commentList>
    <comment ref="I12" authorId="0" shapeId="0">
      <text>
        <r>
          <rPr>
            <b/>
            <sz val="9"/>
            <color indexed="81"/>
            <rFont val="Segoe UI"/>
            <family val="2"/>
          </rPr>
          <t>Allan Montilares:</t>
        </r>
        <r>
          <rPr>
            <sz val="9"/>
            <color indexed="81"/>
            <rFont val="Segoe UI"/>
            <family val="2"/>
          </rPr>
          <t xml:space="preserve">
coloquei mais 80.000
de pedido</t>
        </r>
      </text>
    </comment>
  </commentList>
</comments>
</file>

<file path=xl/comments3.xml><?xml version="1.0" encoding="utf-8"?>
<comments xmlns="http://schemas.openxmlformats.org/spreadsheetml/2006/main">
  <authors>
    <author>Allan Montilares</author>
  </authors>
  <commentList>
    <comment ref="G7" authorId="0" shapeId="0">
      <text>
        <r>
          <rPr>
            <b/>
            <sz val="9"/>
            <color indexed="81"/>
            <rFont val="Segoe UI"/>
            <family val="2"/>
          </rPr>
          <t>Allan Montilares:</t>
        </r>
        <r>
          <rPr>
            <sz val="9"/>
            <color indexed="81"/>
            <rFont val="Segoe UI"/>
            <family val="2"/>
          </rPr>
          <t xml:space="preserve">
PRODUZIDO NA LINHA 2 NOVA E PASSOU NO FORNO PARA FAZER CX 144
</t>
        </r>
      </text>
    </comment>
  </commentList>
</comments>
</file>

<file path=xl/sharedStrings.xml><?xml version="1.0" encoding="utf-8"?>
<sst xmlns="http://schemas.openxmlformats.org/spreadsheetml/2006/main" count="961" uniqueCount="425">
  <si>
    <t>Código</t>
  </si>
  <si>
    <t>Descrição</t>
  </si>
  <si>
    <t>AGUA OXIGENADA 10/90ML</t>
  </si>
  <si>
    <t>AGUA OXIGENADA 20/90ML</t>
  </si>
  <si>
    <t>AGUA OXIGENADA 30/90ML</t>
  </si>
  <si>
    <t>AGUA OXIGENADA 40/90ML</t>
  </si>
  <si>
    <t>AGUA OXIGENADA BK 10/90ML</t>
  </si>
  <si>
    <t>AGUA OXIGENADA BK 20/90ML</t>
  </si>
  <si>
    <t>AGUA OXIGENADA BK 30/90ML</t>
  </si>
  <si>
    <t>AGUA OXIGENADA BK 40/90ML</t>
  </si>
  <si>
    <t>AGUA OXIGENADA 10/450ML</t>
  </si>
  <si>
    <t>AGUA OXIGENADA 20/450ML</t>
  </si>
  <si>
    <t>AGUA OXIGENADA 30/450ML</t>
  </si>
  <si>
    <t>AGUA OXIGENADA 40/450ML</t>
  </si>
  <si>
    <t>AGUA OXIGENADA BK 10/450ML</t>
  </si>
  <si>
    <t>AGUA OXIGENADA BK 20/450ML</t>
  </si>
  <si>
    <t>AGUA OXIGENADA BK 30/450ML</t>
  </si>
  <si>
    <t>AGUA OXIGENADA BK 40/450ML</t>
  </si>
  <si>
    <t>AGUA OXIGENADA 10/900ML</t>
  </si>
  <si>
    <t>AGUA OXIGENADA 20/900ML</t>
  </si>
  <si>
    <t>AGUA OXIGENADA 30/900ML</t>
  </si>
  <si>
    <t>AGUA OXIGENADA 40/900ML</t>
  </si>
  <si>
    <t>AGUA OXIGENADA BK 10/900ML</t>
  </si>
  <si>
    <t>AGUA OXIGENADA BK 20/900ML</t>
  </si>
  <si>
    <t>AGUA OXIGENADA BK 30/900ML</t>
  </si>
  <si>
    <t>AGUA OXIGENADA BK 40/900ML</t>
  </si>
  <si>
    <t>REMOVEDOR  - TRADICIONAL 90ML</t>
  </si>
  <si>
    <t xml:space="preserve">REMOVEDOR - 50 ANOS 90ML </t>
  </si>
  <si>
    <t>REMOVEDOR - ALOE VERA 90ML</t>
  </si>
  <si>
    <t>REMOVEDOR - FRUTAS VERMELHAS 90ML</t>
  </si>
  <si>
    <t>REMOVEDOR - UVA 90ML</t>
  </si>
  <si>
    <t>REMOVEDOR - ALFAZEMA 90ML</t>
  </si>
  <si>
    <t>REMOVEDOR - PATCHOULI 90ML</t>
  </si>
  <si>
    <t>REMOVEDOR - HIBISCO 90ML</t>
  </si>
  <si>
    <t>REMOVEDOR - LAVANDA 90ML</t>
  </si>
  <si>
    <t>REMOVEDOR - CRAVO  &amp; CANELA 90ML</t>
  </si>
  <si>
    <t>REMOVEDOR - BASE AGUA 90ML</t>
  </si>
  <si>
    <t>REMOVEDOR - UVA PANVEL 90ML</t>
  </si>
  <si>
    <t>DILUENTE OLEO DE BANANA 90ML</t>
  </si>
  <si>
    <t>REMOVEDOR - TRADICIONAL 450ML</t>
  </si>
  <si>
    <t xml:space="preserve">REMOVEDOR - 50 ANOS 450ML  </t>
  </si>
  <si>
    <t xml:space="preserve">REMOVEDOR - ALOE VERA 450ML </t>
  </si>
  <si>
    <t xml:space="preserve">REMOVEDOR - FRUTAS VERMELHAS 450ML </t>
  </si>
  <si>
    <t xml:space="preserve">REMOVEDOR - UVA 450ML </t>
  </si>
  <si>
    <t>REMOVEDOR ALFAZEMA 450ML</t>
  </si>
  <si>
    <t>REMOVEDOR - PATCHOULI 450ML</t>
  </si>
  <si>
    <t>REMOVEDOR - HIBISCO 450ML</t>
  </si>
  <si>
    <t>REMOVEDOR - LAVANDA 450ML</t>
  </si>
  <si>
    <t>REMOVEDOR - CRAVO  &amp; CANELA 450ML</t>
  </si>
  <si>
    <t>REMOVEDOR -  BASE AGUA 450ML</t>
  </si>
  <si>
    <t>TOTAL</t>
  </si>
  <si>
    <t>MEDIA DE VENDA</t>
  </si>
  <si>
    <t>QUANT. EM DIAS</t>
  </si>
  <si>
    <t>SALDO REAL</t>
  </si>
  <si>
    <t>SALDO EM DIAS REAL</t>
  </si>
  <si>
    <t>NECESSIDADE DE PA O PARA O MINIMO</t>
  </si>
  <si>
    <t>ox</t>
  </si>
  <si>
    <t>Removedor</t>
  </si>
  <si>
    <t>10vol</t>
  </si>
  <si>
    <t>20vol</t>
  </si>
  <si>
    <t>30vol</t>
  </si>
  <si>
    <t>40vol</t>
  </si>
  <si>
    <t>50 anos</t>
  </si>
  <si>
    <t xml:space="preserve">aloe </t>
  </si>
  <si>
    <t>trad</t>
  </si>
  <si>
    <t>frutas</t>
  </si>
  <si>
    <t>uva</t>
  </si>
  <si>
    <t>panvel</t>
  </si>
  <si>
    <t>banana</t>
  </si>
  <si>
    <t>data produção</t>
  </si>
  <si>
    <t>Colunas2</t>
  </si>
  <si>
    <t>DESCRIÇÃO</t>
  </si>
  <si>
    <t>TIRA FACIL - ALOE VERA</t>
  </si>
  <si>
    <t>TIRA FACIL - FRUTAS VERMELHAS</t>
  </si>
  <si>
    <t>TIRA FACIL - UVA</t>
  </si>
  <si>
    <t>TIRA FACIL - TRADICIONAL</t>
  </si>
  <si>
    <t>TIRA FACIL - 50 ANOS</t>
  </si>
  <si>
    <t xml:space="preserve">                    -   </t>
  </si>
  <si>
    <t xml:space="preserve">                    -   </t>
  </si>
  <si>
    <t>TIRA FACIL</t>
  </si>
  <si>
    <t>UVA</t>
  </si>
  <si>
    <t>ML</t>
  </si>
  <si>
    <t>linha 4</t>
  </si>
  <si>
    <t>PA</t>
  </si>
  <si>
    <t>5344</t>
  </si>
  <si>
    <t>AGUA OXIGENADA 20/90ML - PCT  - 12</t>
  </si>
  <si>
    <t>5345</t>
  </si>
  <si>
    <t>AGUA OXIGENADA 30/90ML - PCT  - 12</t>
  </si>
  <si>
    <t>5346</t>
  </si>
  <si>
    <t>AGUA OXIGENADA 40/90ML - PCT - 12</t>
  </si>
  <si>
    <t>5272</t>
  </si>
  <si>
    <t>DILUENTE - OL.BANANA 90ML C/ BICO - PCT - 12</t>
  </si>
  <si>
    <t>5577</t>
  </si>
  <si>
    <t xml:space="preserve">REMOVEDOR  ZERO ACETONA FRUTAS VERMELHAS 90ML - PCT- 12 </t>
  </si>
  <si>
    <t>5583</t>
  </si>
  <si>
    <t xml:space="preserve">REMOVEDOR DE ESMALTE 50 ANOS 90ML - PCT- 12 </t>
  </si>
  <si>
    <t>5270</t>
  </si>
  <si>
    <t>REMOVEDOR DE ESMALTE 90ML - PCT - 12</t>
  </si>
  <si>
    <t>5297</t>
  </si>
  <si>
    <t xml:space="preserve">REMOVEDOR DE ESMALTE ZERO ACETONA UVA 90ML - PCT- 12 </t>
  </si>
  <si>
    <t>5580</t>
  </si>
  <si>
    <t xml:space="preserve">REMOVEDOR ZERO ACETONA ALOE VERA 90ML - PCT- 12 </t>
  </si>
  <si>
    <t>Unidade</t>
  </si>
  <si>
    <t>AGUA OXIGENADA 20/4000ML</t>
  </si>
  <si>
    <t>AGUA OXIGENADA 30/4000ML</t>
  </si>
  <si>
    <t>AGUA OXIGENADA 40/4000ML</t>
  </si>
  <si>
    <t>DILUENTE - OL.BANANA 90ML C/ BICO</t>
  </si>
  <si>
    <t xml:space="preserve">REMOVEDOR DE ESMALTE - 50 ANOS 450ML  </t>
  </si>
  <si>
    <t xml:space="preserve">REMOVEDOR DE ESMALTE - 50 ANOS 90ML </t>
  </si>
  <si>
    <t>REMOVEDOR DE ESMALTE 450ML</t>
  </si>
  <si>
    <t>REMOVEDOR DE ESMALTE 90ML</t>
  </si>
  <si>
    <t xml:space="preserve">REMOVEDOR DE ESMALTE HIBISCO ZERO ACETONA 90ML </t>
  </si>
  <si>
    <t xml:space="preserve">REMOVEDOR DE ESMALTE LAVANDA  ZERO ACETONA 90ML </t>
  </si>
  <si>
    <t xml:space="preserve">REMOVEDOR DE ESMALTE LAVANDA ZERO ACETONA 450ML </t>
  </si>
  <si>
    <t xml:space="preserve">REMOVEDOR DE ESMALTE PATCHOULI ZERO ACETONA 90ML </t>
  </si>
  <si>
    <t xml:space="preserve">REMOVEDOR DE ESMALTE ZERO ACETONA ALOE VERA 450ML </t>
  </si>
  <si>
    <t>REMOVEDOR DE ESMALTE ZERO ACETONA ALOE VERA 90ML</t>
  </si>
  <si>
    <t xml:space="preserve">REMOVEDOR DE ESMALTE ZERO ACETONA FRUTAS VERMELHAS 450ML </t>
  </si>
  <si>
    <t>REMOVEDOR DE ESMALTE ZERO ACETONA FRUTAS VERMELHAS 90ML</t>
  </si>
  <si>
    <t xml:space="preserve">REMOVEDOR DE ESMALTE ZERO ACETONA UVA 450ML </t>
  </si>
  <si>
    <t>REMOVEDOR DE ESMALTE ZERO ACETONA UVA 90ML</t>
  </si>
  <si>
    <t xml:space="preserve">TIRA FACIL REM. DE ESMALTE ZERO ACET. ALOE VERA 75ML </t>
  </si>
  <si>
    <t xml:space="preserve">TIRA FACIL REM. DE ESMALTE ZERO ACET. FRUTAS VERM 75ML </t>
  </si>
  <si>
    <t xml:space="preserve">TIRA FACIL REM. DE ESMALTE ZERO ACET. UVA 75ML </t>
  </si>
  <si>
    <t xml:space="preserve">TIRA FACIL REM. SOL. DE ESMALTE BA 75ML </t>
  </si>
  <si>
    <t xml:space="preserve">TIRA FACIL REMOVEDOR DE ESMALTE 50 ANOS 75ML </t>
  </si>
  <si>
    <t>AGUA OXIGENADA 10/450ML - CX - 12</t>
  </si>
  <si>
    <t>AGUA OXIGENADA 10/900ML - CX -  6</t>
  </si>
  <si>
    <t>AGUA OXIGENADA 20/4000ML - CX 4</t>
  </si>
  <si>
    <t xml:space="preserve">AGUA OXIGENADA 20/450ML - CX  - 12 </t>
  </si>
  <si>
    <t xml:space="preserve">AGUA OXIGENADA 20/900ML - CX - 6 </t>
  </si>
  <si>
    <t>AGUA OXIGENADA 30/4000ML- CX 4</t>
  </si>
  <si>
    <t>AGUA OXIGENADA 30/450ML - CX - 12</t>
  </si>
  <si>
    <t>AGUA OXIGENADA 30/900ML - CX - 6</t>
  </si>
  <si>
    <t>AGUA OXIGENADA 40/4000ML- CX 4</t>
  </si>
  <si>
    <t>AGUA OXIGENADA 40/450ML - CX -12</t>
  </si>
  <si>
    <t>AGUA OXIGENADA 40/900ML - CX - 6</t>
  </si>
  <si>
    <t xml:space="preserve">AGUA OXIGENADA BK 10/450ML - CX - 12 </t>
  </si>
  <si>
    <t>AGUA OXIGENADA BK 10/900ML - CX - 6</t>
  </si>
  <si>
    <t>AGUA OXIGENADA BK 20/450ML - CX - 12</t>
  </si>
  <si>
    <t>AGUA OXIGENADA BK 20/900ML - CX - 6</t>
  </si>
  <si>
    <t xml:space="preserve">AGUA OXIGENADA BK 30/450ML - CX - 12 </t>
  </si>
  <si>
    <t>AGUA OXIGENADA BK 30/900ML - CX - 6</t>
  </si>
  <si>
    <t>AGUA OXIGENADA BK 40/450ML - CX - 12</t>
  </si>
  <si>
    <t>AGUA OXIGENADA BK 40/900ML - CX - 6</t>
  </si>
  <si>
    <t>REMOVEDOR  ZERO ACETONA FRUTAS VERMELHAS 450 ML  - CX -12</t>
  </si>
  <si>
    <t>REMOVEDOR DE ESMALTE 450ML - CX - 12</t>
  </si>
  <si>
    <t>REMOVEDOR DE ESMALTE 50 ANOS 450 ML  - CX -12</t>
  </si>
  <si>
    <t>REMOVEDOR DE ESMALTE ZERO ACETONA UVA 450 ML  - CX -12</t>
  </si>
  <si>
    <t>REMOVEDOR ZERO ACETONA ALOE VERA 450 ML  - CX -12</t>
  </si>
  <si>
    <t>PEDIDO TOTAL</t>
  </si>
  <si>
    <t>MÉDIA</t>
  </si>
  <si>
    <t>produzir</t>
  </si>
  <si>
    <t xml:space="preserve">REMOVEDOR DIHELLEN 90ML </t>
  </si>
  <si>
    <t xml:space="preserve">REMOVEDOR 90ML -  DAILUS </t>
  </si>
  <si>
    <t>dihellen</t>
  </si>
  <si>
    <t>dailus</t>
  </si>
  <si>
    <t>Colunas1</t>
  </si>
  <si>
    <t>TIRA FACIL - PANVEL</t>
  </si>
  <si>
    <t>PANVEL</t>
  </si>
  <si>
    <t>CÓDIGO</t>
  </si>
  <si>
    <t>AGUA OXIGENADA 10/90ML BK</t>
  </si>
  <si>
    <t>AGUA OXIGENADA 20/90ML BK</t>
  </si>
  <si>
    <t>AGUA OXIGENADA 30/90ML BK</t>
  </si>
  <si>
    <t>AGUA OXIGENADA 40/90ML BK</t>
  </si>
  <si>
    <t>AGUA OXIGENADA 10/450ML BK</t>
  </si>
  <si>
    <t>AGUA OXIGENADA 20/450ML BK</t>
  </si>
  <si>
    <t>AGUA OXIGENADA 30/450ML BK</t>
  </si>
  <si>
    <t>AGUA OXIGENADA 40/450ML BK</t>
  </si>
  <si>
    <t>AGUA OXIGENADA 10/900ML BK</t>
  </si>
  <si>
    <t>AGUA OXIGENADA 20/900ML BK</t>
  </si>
  <si>
    <t>AGUA OXIGENADA 30/900ML BK</t>
  </si>
  <si>
    <t>AGUA OXIGENADA 40/900ML BK</t>
  </si>
  <si>
    <t>soma</t>
  </si>
  <si>
    <t>saldo de estoque em meses</t>
  </si>
  <si>
    <t>obs:</t>
  </si>
  <si>
    <t>SLEEVE 75ML - TIRA FACIL TRADICIONAL</t>
  </si>
  <si>
    <t>SLEEVE 75ML - TIRA FACIL UVA</t>
  </si>
  <si>
    <t>SLEEVE 75ML - TIRA FACIL HIBISCO</t>
  </si>
  <si>
    <t>SLEEVE 75ML - TIRA FACIL FRUTAS VERMELHAS</t>
  </si>
  <si>
    <t>SLEEVE 75ML - TIRA FACIL ALOE VERA</t>
  </si>
  <si>
    <t>SLEEVE 75ML - TIRA FACIL LAVANDA</t>
  </si>
  <si>
    <t>SLEEVE 75ML - TIRA FACIL 50 ANOS</t>
  </si>
  <si>
    <t>SLEEVE 75ML - TIRA FACIL PANVEL</t>
  </si>
  <si>
    <t>SLEEVE 75ML - TIRA FACIL CRAVO E CANELA</t>
  </si>
  <si>
    <t>SLEEVE 75ML - TIRA FACIL PATCHOULI</t>
  </si>
  <si>
    <t>SLEEVE 75ML - TIRA FACIL ALFAZEMA</t>
  </si>
  <si>
    <t>SLEEVE 75ML - TIRA FACIL BASE AGUA</t>
  </si>
  <si>
    <t>media</t>
  </si>
  <si>
    <t>saldo novo</t>
  </si>
  <si>
    <t>soma final</t>
  </si>
  <si>
    <t>usou 2</t>
  </si>
  <si>
    <t>usou 13/02</t>
  </si>
  <si>
    <t>rotulos novos Apena para uma base (entrou 24/02)</t>
  </si>
  <si>
    <t>REMOVEDOR ESPONJA - UVA 75ML - PANVEL</t>
  </si>
  <si>
    <t>linha 1 nova</t>
  </si>
  <si>
    <t>linha 2 nova</t>
  </si>
  <si>
    <t>Colunas3</t>
  </si>
  <si>
    <t>nº</t>
  </si>
  <si>
    <t>ordem</t>
  </si>
  <si>
    <t>obs</t>
  </si>
  <si>
    <t>todo bom</t>
  </si>
  <si>
    <t>cx 48</t>
  </si>
  <si>
    <t>40mil cx 48 / 15mil cx 144</t>
  </si>
  <si>
    <t>Observação</t>
  </si>
  <si>
    <t>inicio</t>
  </si>
  <si>
    <t>fim</t>
  </si>
  <si>
    <t>finalizou 29/10</t>
  </si>
  <si>
    <t>não tem sleeve</t>
  </si>
  <si>
    <t>produzindo</t>
  </si>
  <si>
    <t xml:space="preserve">SALDO REAL </t>
  </si>
  <si>
    <t xml:space="preserve"> SALDO EM DIAS REAL </t>
  </si>
  <si>
    <t xml:space="preserve">linha </t>
  </si>
  <si>
    <t xml:space="preserve"> Produzido </t>
  </si>
  <si>
    <t xml:space="preserve"> inicio </t>
  </si>
  <si>
    <t xml:space="preserve"> fim </t>
  </si>
  <si>
    <t xml:space="preserve">-    94.464 </t>
  </si>
  <si>
    <t xml:space="preserve">      40.000 </t>
  </si>
  <si>
    <t xml:space="preserve">linha 1 antiga </t>
  </si>
  <si>
    <t xml:space="preserve">-            4 </t>
  </si>
  <si>
    <t xml:space="preserve">      55.000 </t>
  </si>
  <si>
    <t xml:space="preserve">-    46.733 </t>
  </si>
  <si>
    <t xml:space="preserve">-          11 </t>
  </si>
  <si>
    <t xml:space="preserve">      45.000 </t>
  </si>
  <si>
    <t xml:space="preserve">-    39.360 </t>
  </si>
  <si>
    <t xml:space="preserve">      40.000 </t>
  </si>
  <si>
    <t xml:space="preserve">-    14.688 </t>
  </si>
  <si>
    <t xml:space="preserve">-          14 </t>
  </si>
  <si>
    <t xml:space="preserve">      20.000 </t>
  </si>
  <si>
    <t xml:space="preserve">-    14.160 </t>
  </si>
  <si>
    <t xml:space="preserve">-          15 </t>
  </si>
  <si>
    <t xml:space="preserve">-         864 </t>
  </si>
  <si>
    <t xml:space="preserve">-            3 </t>
  </si>
  <si>
    <t xml:space="preserve">-            24 </t>
  </si>
  <si>
    <t xml:space="preserve">-            0 </t>
  </si>
  <si>
    <t xml:space="preserve">         2.000 </t>
  </si>
  <si>
    <t xml:space="preserve">           372 </t>
  </si>
  <si>
    <t xml:space="preserve">             1 </t>
  </si>
  <si>
    <t xml:space="preserve">-     33.348 </t>
  </si>
  <si>
    <t xml:space="preserve">-          16 </t>
  </si>
  <si>
    <t xml:space="preserve">       40.000 </t>
  </si>
  <si>
    <t xml:space="preserve">linha 2 antiga </t>
  </si>
  <si>
    <t xml:space="preserve">-     13.788 </t>
  </si>
  <si>
    <t xml:space="preserve">-          24 </t>
  </si>
  <si>
    <t xml:space="preserve">       20.000 </t>
  </si>
  <si>
    <t xml:space="preserve">-       4.428 </t>
  </si>
  <si>
    <t xml:space="preserve">       12.000 </t>
  </si>
  <si>
    <t xml:space="preserve">-          984 </t>
  </si>
  <si>
    <t xml:space="preserve">         6.000 </t>
  </si>
  <si>
    <t xml:space="preserve">-            84 </t>
  </si>
  <si>
    <t xml:space="preserve">         5.000 </t>
  </si>
  <si>
    <t>Sleeve antigo </t>
  </si>
  <si>
    <t xml:space="preserve">-      5.808 </t>
  </si>
  <si>
    <t xml:space="preserve">        3.000 </t>
  </si>
  <si>
    <t xml:space="preserve">linha 4 </t>
  </si>
  <si>
    <t xml:space="preserve">-          534 </t>
  </si>
  <si>
    <t xml:space="preserve">-            5 </t>
  </si>
  <si>
    <t xml:space="preserve">         3.000 </t>
  </si>
  <si>
    <t xml:space="preserve">-          390 </t>
  </si>
  <si>
    <t xml:space="preserve">-            1 </t>
  </si>
  <si>
    <t xml:space="preserve">         7.000 </t>
  </si>
  <si>
    <t xml:space="preserve">           666 </t>
  </si>
  <si>
    <t xml:space="preserve">             2 </t>
  </si>
  <si>
    <t xml:space="preserve">             12 </t>
  </si>
  <si>
    <t xml:space="preserve">             0 </t>
  </si>
  <si>
    <t>álcool álamo neutro 1 litro</t>
  </si>
  <si>
    <t>álcool álamo neutro 500 ml</t>
  </si>
  <si>
    <t>Saldo em estoque cx24</t>
  </si>
  <si>
    <t>MÉDIA de venda</t>
  </si>
  <si>
    <t>Para atender 10 dias precisaríamos de:</t>
  </si>
  <si>
    <t>Produzir</t>
  </si>
  <si>
    <t>data</t>
  </si>
  <si>
    <t xml:space="preserve">       160.024,00 </t>
  </si>
  <si>
    <t xml:space="preserve">        261.020,67 </t>
  </si>
  <si>
    <t xml:space="preserve">          72.638,00 </t>
  </si>
  <si>
    <t xml:space="preserve">          14.764,33 </t>
  </si>
  <si>
    <t xml:space="preserve">                    -   </t>
  </si>
  <si>
    <t xml:space="preserve">            9.705,33 </t>
  </si>
  <si>
    <t xml:space="preserve">          10.202,00 </t>
  </si>
  <si>
    <t xml:space="preserve">          12.387,67 </t>
  </si>
  <si>
    <t xml:space="preserve">          42.660,67 </t>
  </si>
  <si>
    <t xml:space="preserve">         11.827,20 </t>
  </si>
  <si>
    <t xml:space="preserve">          56.056,00 </t>
  </si>
  <si>
    <t xml:space="preserve">         20.428,80 </t>
  </si>
  <si>
    <t xml:space="preserve">          92.507,00 </t>
  </si>
  <si>
    <t xml:space="preserve">            1.138,67 </t>
  </si>
  <si>
    <t>Verificar se podemos produzir</t>
  </si>
  <si>
    <t xml:space="preserve">            3.223,67 </t>
  </si>
  <si>
    <t xml:space="preserve">                    -   </t>
  </si>
  <si>
    <t xml:space="preserve">            2.621,00 </t>
  </si>
  <si>
    <t xml:space="preserve">            4.580,00 </t>
  </si>
  <si>
    <t>104.640,00  solicitaão da gianina</t>
  </si>
  <si>
    <t>1.824,00 solicitaão da gianina</t>
  </si>
  <si>
    <t>3.120,00 solicitaão da gianina</t>
  </si>
  <si>
    <r>
      <t xml:space="preserve">40mil cx 48 - transformas 3 rack de pat em cx de 48 </t>
    </r>
    <r>
      <rPr>
        <b/>
        <sz val="11"/>
        <color rgb="FFFF0000"/>
        <rFont val="Times New Roman"/>
        <family val="1"/>
      </rPr>
      <t>(mudou para 20mil cx 48)</t>
    </r>
  </si>
  <si>
    <r>
      <t xml:space="preserve">25mil cx 48 / 10mil pct / 10mil cx 144 </t>
    </r>
    <r>
      <rPr>
        <b/>
        <sz val="11"/>
        <color rgb="FFFF0000"/>
        <rFont val="Times New Roman"/>
        <family val="1"/>
      </rPr>
      <t>(mudou para 1 racck 144, 1 rack pct e 3 rack cx 48)</t>
    </r>
  </si>
  <si>
    <r>
      <t xml:space="preserve">13mil cx 48 / 7mil cx 144 </t>
    </r>
    <r>
      <rPr>
        <b/>
        <sz val="11"/>
        <color rgb="FFFF0000"/>
        <rFont val="Times New Roman"/>
        <family val="1"/>
      </rPr>
      <t>(mudou para 7mil cx 48 + 11mil cx 144)</t>
    </r>
  </si>
  <si>
    <r>
      <t>14mil cx 48 / 6mil cx 144</t>
    </r>
    <r>
      <rPr>
        <b/>
        <sz val="11"/>
        <color rgb="FFFF0000"/>
        <rFont val="Times New Roman"/>
        <family val="1"/>
      </rPr>
      <t xml:space="preserve"> (mudou para 11mil cx 48 + 1mil cx 144)</t>
    </r>
  </si>
  <si>
    <t>PRODUZIDO</t>
  </si>
  <si>
    <t>Colunas4</t>
  </si>
  <si>
    <t>Descrição cx 24</t>
  </si>
  <si>
    <t>288,00 solicitaão da gianina alfaz transformação de pct em cx 24 / 288,00 solicitaão da gianina patch transformação de pct em cx 24</t>
  </si>
  <si>
    <t>04/011</t>
  </si>
  <si>
    <t>15.840,00 solicitaão da gianina, transformando em cx 24</t>
  </si>
  <si>
    <t>transformar</t>
  </si>
  <si>
    <t>REMOVEDOR DE ESMALTE TODO BOM 90ML</t>
  </si>
  <si>
    <t>transformar 1 rack</t>
  </si>
  <si>
    <t>transformar 2 rack</t>
  </si>
  <si>
    <t>transformar tudo</t>
  </si>
  <si>
    <t>CURVA</t>
  </si>
  <si>
    <t>C</t>
  </si>
  <si>
    <t>DEO ADSTRIGENTE 500ML</t>
  </si>
  <si>
    <t>DEO ADSTRINGENTE - 120 ML</t>
  </si>
  <si>
    <t>DEO LOCAO APOS BARBA CLASSIC - 120 ML</t>
  </si>
  <si>
    <t>DEO LOCAO APOS BARBA CLASSIC 500ML</t>
  </si>
  <si>
    <t>DEO LOCAO APOS BARBA JOVIAL/SPORT - 120 ML</t>
  </si>
  <si>
    <t>DEO LOCAO APOS BARBA JOVIAL/SPORT 500ML</t>
  </si>
  <si>
    <t>DEO LOCAO APOS BARBA SENSUAL/SEDUCTION 120ML</t>
  </si>
  <si>
    <t xml:space="preserve">DEO LOCAO APOS BARBA SENSUAL/SEDUCTION 500ML </t>
  </si>
  <si>
    <t xml:space="preserve">GLICERINA HIDRA PLUS 90ML </t>
  </si>
  <si>
    <t xml:space="preserve">OLEO DE RICINO BA 90ML </t>
  </si>
  <si>
    <t>OLEO MINERAL BA 90ML - AMENDOAS</t>
  </si>
  <si>
    <t>OLEO MINERAL BA 90ML - BABOSA</t>
  </si>
  <si>
    <t>OLEO MINERAL BA 90ML - COCO</t>
  </si>
  <si>
    <t>OLEO MINERAL BA 90ML - GIRASSOL</t>
  </si>
  <si>
    <t>OLEO MINERAL BA 90ML - JABORANDI</t>
  </si>
  <si>
    <t xml:space="preserve">OLEO MINERAL BA 90ML - ROSA MOSQUETA </t>
  </si>
  <si>
    <t xml:space="preserve">OLEO MINERAL BA 90ML - SEMENTE DE UVA </t>
  </si>
  <si>
    <t>OLEO MINERAL BA 90ML - SILICONADO</t>
  </si>
  <si>
    <t>SABONETE LIQUIDO FLORAL  500ML</t>
  </si>
  <si>
    <t>SABONETE LIQUIDO FRUTAL  500ML</t>
  </si>
  <si>
    <t>SABONETE LIQUIDO HERBAL  500ML</t>
  </si>
  <si>
    <t>SABONETE LIQUIDO LAVANDA  500ML</t>
  </si>
  <si>
    <t>SABONETE LIQUIDO NEUTRO  500ML</t>
  </si>
  <si>
    <t xml:space="preserve">VASELINA LIQ.  90ML </t>
  </si>
  <si>
    <t>VASELINA SOLIDA POTE 70G</t>
  </si>
  <si>
    <t>LOCOES MASCULINAS</t>
  </si>
  <si>
    <t>OFICINAIS</t>
  </si>
  <si>
    <t>OLEOS P/ CABELOS E CORPO</t>
  </si>
  <si>
    <t>AGUA MICELAR BA 120ML</t>
  </si>
  <si>
    <t>AGUA OXIGENADA 10/90ML - CX - 24</t>
  </si>
  <si>
    <t>AGUA OXIGENADA 20/90ML - CX  - 24</t>
  </si>
  <si>
    <t>AGUA OXIGENADA 30/90ML - CX  - 24</t>
  </si>
  <si>
    <t>AGUA OXIGENADA 40/90ML - CX - 24</t>
  </si>
  <si>
    <t>REMOVEDOR DE ESMALTE 90ML - CX  24</t>
  </si>
  <si>
    <t xml:space="preserve">REMOVEDOR DE ESMALTE ZERO ACETONA UVA 90ML - CX 24 </t>
  </si>
  <si>
    <t xml:space="preserve">REMOVEDOR DE ESMALTES SOL. ACET. DIHELLEN 90ML </t>
  </si>
  <si>
    <t>REMOVEDOR UVA 90ML - PANVEL</t>
  </si>
  <si>
    <t>DEO ANTITRANSP CR 50G MASCULINO</t>
  </si>
  <si>
    <t>DEO ANTITRANSP CR 50G FEMININO</t>
  </si>
  <si>
    <t>DEO CR. P/PES PURESKIN 240G</t>
  </si>
  <si>
    <t>DEO CR. P/MAOS PURESKIN 240G</t>
  </si>
  <si>
    <t>DEO CR. PES BISNAGA 100G</t>
  </si>
  <si>
    <t>DEO CR. MAOS BISNAGA 100G</t>
  </si>
  <si>
    <t>CREME</t>
  </si>
  <si>
    <t>MANUAL</t>
  </si>
  <si>
    <t>Coluna1</t>
  </si>
  <si>
    <t>GALÃO 20 VOL</t>
  </si>
  <si>
    <t>GALÃO 30 VOL</t>
  </si>
  <si>
    <t>GALÃO 40 VOL</t>
  </si>
  <si>
    <t>GALÃO</t>
  </si>
  <si>
    <t>linha 3</t>
  </si>
  <si>
    <t>KIT</t>
  </si>
  <si>
    <t xml:space="preserve">KIT CLAREADOR DOURADINHA </t>
  </si>
  <si>
    <t>CX</t>
  </si>
  <si>
    <t>SABONETE LIQUIDO NEUTRO  500ML - CXA  6</t>
  </si>
  <si>
    <t xml:space="preserve">SABONETE LIQUIDO FLORAL  500ML - CXA 6 </t>
  </si>
  <si>
    <t>SABONETE LIQUIDO FRUTAL  500ML - CXA 6</t>
  </si>
  <si>
    <t>SABONETE LIQUIDO HERBAL  500ML - CXA 6</t>
  </si>
  <si>
    <t>SABONETE LIQUIDO LAVANDA  500ML - CXA 6</t>
  </si>
  <si>
    <t>REMOVEDOR DE ESMALTE  ZERO ACETONA ALOE VERA 90ML - CX 24</t>
  </si>
  <si>
    <t>REMOVEDOR DE ESMALTE  ZERO ACETONA FRUTAS VERMELHAS 90ML -CX 24</t>
  </si>
  <si>
    <t>TIRA FACIL REM. SOL. DE ESMALTE BA 75ML - CX 24</t>
  </si>
  <si>
    <t>TIRA FACIL REMOVEDOR DE ESMALTE 50 ANOS 75ML - CX 24</t>
  </si>
  <si>
    <t>TIRA FACIL REM. DE ESMALTE ZERO ACET. UVA 75ML -CX 24</t>
  </si>
  <si>
    <t>TIRA FACIL REM. DE ESMALTE ZERO ACET. ALOE VERA 75ML - CX 24</t>
  </si>
  <si>
    <t>TIRA FACIL REM. DE ESMALTE ZERO ACET. FRUTAS VERM 75ML -CX 24</t>
  </si>
  <si>
    <t>AGUA OXIGENADA BK 10/90ML - CX - 24</t>
  </si>
  <si>
    <t>AGUA OXIGENADA BK 20/90ML - CX - 24</t>
  </si>
  <si>
    <t>AGUA OXIGENADA BK 30/90ML - CX - 24</t>
  </si>
  <si>
    <t>AGUA OXIGENADA BK 40/90ML - CX - 24</t>
  </si>
  <si>
    <t>DILUENTE - OL.BANANA 90ML C/ BICO - CX 24</t>
  </si>
  <si>
    <t>REMOVEDOR DE ESMALTE - 50 ANOS 90ML  CX 24</t>
  </si>
  <si>
    <t>REMOVEDOR DE ESMALTE TODO BOM 90ML - CX - 24</t>
  </si>
  <si>
    <t>REMOVEDOR UVA 90ML - PANVEL  - CX - 24</t>
  </si>
  <si>
    <t>REMOVEDOR DE ESMALTES SOL. ACET. DIHELLEN 90ML  - CX - 24</t>
  </si>
  <si>
    <t>REMOVEDOR 90ML -  DAILUS  - CX - 24</t>
  </si>
  <si>
    <t>REMOVEDOR ESPONJA - UVA 75ML - PANVEL - CX 24</t>
  </si>
  <si>
    <t>KIT CLAREADOR DOURADINHA - CX 6</t>
  </si>
  <si>
    <t>cod cx</t>
  </si>
  <si>
    <t>QTD CX</t>
  </si>
  <si>
    <t>AA</t>
  </si>
  <si>
    <t>AB</t>
  </si>
  <si>
    <t>AC</t>
  </si>
  <si>
    <t>ESTOQUE CURVA ABC</t>
  </si>
  <si>
    <t>ÁGUA OXIGENADA 40/90ML</t>
  </si>
  <si>
    <t>ÁGUA OXIGENADA 20/90ML</t>
  </si>
  <si>
    <t>ÁGUA OXIGENADA 30/90ML</t>
  </si>
  <si>
    <t>ÁGUA OXIGENADA 40/450ML</t>
  </si>
  <si>
    <t>ÁGUA OXIGENADA 40/900ML</t>
  </si>
  <si>
    <t>ÁGUA OXIGENADA 20/900ML</t>
  </si>
  <si>
    <t>ÁGUA OXIGENADA 30/450ML</t>
  </si>
  <si>
    <t>ÁGUA OXIGENADA 10/90ML</t>
  </si>
  <si>
    <t>ÁGUA OXIGENADA 30/900ML</t>
  </si>
  <si>
    <t>ÁGUA OXIGENADA 10/450ML</t>
  </si>
  <si>
    <t>ÁGUA OXIGENADA 20/450ML</t>
  </si>
  <si>
    <t>ÁGUA OXIGENADA 10/900ML</t>
  </si>
  <si>
    <t>ÁGUA MICELAR BA 120ML</t>
  </si>
  <si>
    <t>Saldo Estoque</t>
  </si>
  <si>
    <t>Média de Venda 2025</t>
  </si>
  <si>
    <t>Cod. Cx</t>
  </si>
  <si>
    <t>Tipo</t>
  </si>
  <si>
    <t>Categ.</t>
  </si>
  <si>
    <t>Pedido</t>
  </si>
  <si>
    <t>Saldo Real</t>
  </si>
  <si>
    <t>Saldo em dias</t>
  </si>
  <si>
    <t>Necessidade de P.A</t>
  </si>
  <si>
    <t>Data produção</t>
  </si>
  <si>
    <t>Ordem</t>
  </si>
  <si>
    <t>Linha</t>
  </si>
  <si>
    <t>Lote</t>
  </si>
  <si>
    <t>Necessidade S.A</t>
  </si>
  <si>
    <t>Volume</t>
  </si>
  <si>
    <t>Saldo após produção</t>
  </si>
  <si>
    <t>Saldo em dias após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</si>
</sst>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#,###,##0.00"/>
    <numFmt numFmtId="167" formatCode="_(* #,##0.00_);_(* \(#,##0.00\);_(* &quot;-&quot;??_);_(@_)"/>
    <numFmt numFmtId="168" formatCode="_-* #,##0.000_-;\-* #,##0.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Microsoft Sans Serif"/>
      <family val="2"/>
    </font>
    <font>
      <sz val="9"/>
      <color theme="1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b/>
      <sz val="8"/>
      <color theme="0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sz val="11"/>
      <color theme="8" tint="0.79998168889431442"/>
      <name val="Calibri"/>
      <family val="2"/>
      <scheme val="minor"/>
    </font>
    <font>
      <sz val="8"/>
      <color theme="1"/>
      <name val="Times New Roman"/>
      <family val="1"/>
    </font>
    <font>
      <sz val="11"/>
      <color theme="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43A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5B9BD5"/>
      </left>
      <right style="medium">
        <color rgb="FF000000"/>
      </right>
      <top style="medium">
        <color rgb="FF5B9BD5"/>
      </top>
      <bottom style="medium">
        <color rgb="FF000000"/>
      </bottom>
      <diagonal/>
    </border>
    <border>
      <left/>
      <right style="medium">
        <color rgb="FF000000"/>
      </right>
      <top style="medium">
        <color rgb="FF5B9BD5"/>
      </top>
      <bottom style="medium">
        <color rgb="FF000000"/>
      </bottom>
      <diagonal/>
    </border>
    <border>
      <left style="medium">
        <color rgb="FF5B9BD5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329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/>
    <xf numFmtId="166" fontId="5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49" fontId="5" fillId="6" borderId="0" xfId="0" applyNumberFormat="1" applyFont="1" applyFill="1" applyAlignment="1">
      <alignment horizontal="center"/>
    </xf>
    <xf numFmtId="49" fontId="5" fillId="6" borderId="0" xfId="0" applyNumberFormat="1" applyFont="1" applyFill="1" applyAlignment="1">
      <alignment horizontal="left"/>
    </xf>
    <xf numFmtId="166" fontId="5" fillId="6" borderId="0" xfId="0" applyNumberFormat="1" applyFont="1" applyFill="1" applyAlignment="1">
      <alignment horizontal="right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6" borderId="14" xfId="0" applyNumberFormat="1" applyFont="1" applyFill="1" applyBorder="1" applyAlignment="1">
      <alignment horizontal="center"/>
    </xf>
    <xf numFmtId="49" fontId="5" fillId="6" borderId="14" xfId="0" applyNumberFormat="1" applyFont="1" applyFill="1" applyBorder="1" applyAlignment="1">
      <alignment horizontal="left"/>
    </xf>
    <xf numFmtId="166" fontId="5" fillId="6" borderId="14" xfId="0" applyNumberFormat="1" applyFont="1" applyFill="1" applyBorder="1" applyAlignment="1">
      <alignment horizontal="right"/>
    </xf>
    <xf numFmtId="0" fontId="0" fillId="5" borderId="5" xfId="0" applyFill="1" applyBorder="1"/>
    <xf numFmtId="0" fontId="0" fillId="0" borderId="5" xfId="0" applyBorder="1"/>
    <xf numFmtId="0" fontId="0" fillId="7" borderId="5" xfId="0" applyFill="1" applyBorder="1"/>
    <xf numFmtId="165" fontId="0" fillId="0" borderId="0" xfId="0" applyNumberFormat="1"/>
    <xf numFmtId="0" fontId="0" fillId="0" borderId="5" xfId="0" applyBorder="1" applyAlignment="1">
      <alignment wrapText="1"/>
    </xf>
    <xf numFmtId="43" fontId="0" fillId="0" borderId="0" xfId="1" applyFont="1" applyFill="1"/>
    <xf numFmtId="165" fontId="0" fillId="0" borderId="0" xfId="1" applyNumberFormat="1" applyFont="1" applyBorder="1"/>
    <xf numFmtId="0" fontId="13" fillId="4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16" fillId="11" borderId="26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vertical="center"/>
    </xf>
    <xf numFmtId="3" fontId="0" fillId="0" borderId="0" xfId="0" applyNumberFormat="1"/>
    <xf numFmtId="3" fontId="15" fillId="0" borderId="3" xfId="0" applyNumberFormat="1" applyFont="1" applyBorder="1" applyAlignment="1">
      <alignment horizontal="right" vertical="center"/>
    </xf>
    <xf numFmtId="3" fontId="15" fillId="12" borderId="3" xfId="0" applyNumberFormat="1" applyFont="1" applyFill="1" applyBorder="1" applyAlignment="1">
      <alignment horizontal="right" vertical="center"/>
    </xf>
    <xf numFmtId="0" fontId="18" fillId="10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3" fillId="4" borderId="27" xfId="0" applyFont="1" applyFill="1" applyBorder="1" applyAlignment="1">
      <alignment vertical="center"/>
    </xf>
    <xf numFmtId="0" fontId="9" fillId="12" borderId="3" xfId="0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vertical="center"/>
    </xf>
    <xf numFmtId="3" fontId="0" fillId="0" borderId="0" xfId="0" applyNumberFormat="1" applyAlignment="1">
      <alignment horizontal="left"/>
    </xf>
    <xf numFmtId="3" fontId="11" fillId="0" borderId="2" xfId="0" applyNumberFormat="1" applyFont="1" applyBorder="1" applyAlignment="1">
      <alignment horizontal="left" vertical="center"/>
    </xf>
    <xf numFmtId="3" fontId="15" fillId="0" borderId="3" xfId="0" applyNumberFormat="1" applyFont="1" applyBorder="1" applyAlignment="1">
      <alignment horizontal="left" vertical="center"/>
    </xf>
    <xf numFmtId="3" fontId="15" fillId="12" borderId="3" xfId="0" applyNumberFormat="1" applyFont="1" applyFill="1" applyBorder="1" applyAlignment="1">
      <alignment horizontal="left" vertical="center"/>
    </xf>
    <xf numFmtId="3" fontId="15" fillId="5" borderId="3" xfId="0" applyNumberFormat="1" applyFont="1" applyFill="1" applyBorder="1" applyAlignment="1">
      <alignment horizontal="left" vertical="center"/>
    </xf>
    <xf numFmtId="164" fontId="0" fillId="0" borderId="0" xfId="1" applyNumberFormat="1" applyFont="1"/>
    <xf numFmtId="165" fontId="11" fillId="0" borderId="28" xfId="1" applyNumberFormat="1" applyFont="1" applyBorder="1" applyAlignment="1">
      <alignment horizontal="center" vertical="center"/>
    </xf>
    <xf numFmtId="165" fontId="15" fillId="12" borderId="0" xfId="1" applyNumberFormat="1" applyFont="1" applyFill="1" applyBorder="1" applyAlignment="1">
      <alignment horizontal="right" vertical="center"/>
    </xf>
    <xf numFmtId="165" fontId="2" fillId="0" borderId="0" xfId="1" applyNumberFormat="1" applyFont="1" applyBorder="1"/>
    <xf numFmtId="165" fontId="2" fillId="12" borderId="0" xfId="1" applyNumberFormat="1" applyFont="1" applyFill="1" applyBorder="1"/>
    <xf numFmtId="165" fontId="15" fillId="0" borderId="0" xfId="1" applyNumberFormat="1" applyFont="1" applyBorder="1" applyAlignment="1">
      <alignment horizontal="right" vertical="center"/>
    </xf>
    <xf numFmtId="165" fontId="15" fillId="5" borderId="0" xfId="1" applyNumberFormat="1" applyFont="1" applyFill="1" applyBorder="1" applyAlignment="1">
      <alignment horizontal="right" vertical="center"/>
    </xf>
    <xf numFmtId="165" fontId="2" fillId="5" borderId="0" xfId="1" applyNumberFormat="1" applyFont="1" applyFill="1" applyBorder="1"/>
    <xf numFmtId="43" fontId="11" fillId="0" borderId="12" xfId="1" applyFont="1" applyFill="1" applyBorder="1" applyAlignment="1">
      <alignment vertical="center" wrapText="1"/>
    </xf>
    <xf numFmtId="43" fontId="15" fillId="0" borderId="4" xfId="1" applyFont="1" applyFill="1" applyBorder="1" applyAlignment="1">
      <alignment horizontal="right" vertical="center"/>
    </xf>
    <xf numFmtId="3" fontId="0" fillId="0" borderId="0" xfId="1" applyNumberFormat="1" applyFont="1"/>
    <xf numFmtId="0" fontId="13" fillId="4" borderId="31" xfId="0" applyFont="1" applyFill="1" applyBorder="1" applyAlignment="1">
      <alignment vertical="center"/>
    </xf>
    <xf numFmtId="3" fontId="15" fillId="12" borderId="4" xfId="0" applyNumberFormat="1" applyFont="1" applyFill="1" applyBorder="1" applyAlignment="1">
      <alignment horizontal="right" vertical="center"/>
    </xf>
    <xf numFmtId="0" fontId="13" fillId="4" borderId="32" xfId="0" applyFont="1" applyFill="1" applyBorder="1" applyAlignment="1">
      <alignment vertical="center"/>
    </xf>
    <xf numFmtId="3" fontId="15" fillId="12" borderId="0" xfId="0" applyNumberFormat="1" applyFont="1" applyFill="1" applyAlignment="1">
      <alignment horizontal="right" vertical="center"/>
    </xf>
    <xf numFmtId="3" fontId="0" fillId="0" borderId="0" xfId="1" applyNumberFormat="1" applyFont="1" applyBorder="1"/>
    <xf numFmtId="0" fontId="9" fillId="4" borderId="30" xfId="0" applyFont="1" applyFill="1" applyBorder="1" applyAlignment="1">
      <alignment vertical="center"/>
    </xf>
    <xf numFmtId="0" fontId="18" fillId="10" borderId="31" xfId="0" applyFont="1" applyFill="1" applyBorder="1" applyAlignment="1">
      <alignment vertical="center"/>
    </xf>
    <xf numFmtId="0" fontId="17" fillId="10" borderId="31" xfId="0" applyFont="1" applyFill="1" applyBorder="1" applyAlignment="1">
      <alignment vertical="center"/>
    </xf>
    <xf numFmtId="3" fontId="15" fillId="0" borderId="4" xfId="0" applyNumberFormat="1" applyFont="1" applyBorder="1" applyAlignment="1">
      <alignment horizontal="right" vertical="center"/>
    </xf>
    <xf numFmtId="3" fontId="0" fillId="0" borderId="3" xfId="0" applyNumberFormat="1" applyBorder="1" applyAlignment="1">
      <alignment horizontal="left"/>
    </xf>
    <xf numFmtId="3" fontId="15" fillId="5" borderId="0" xfId="0" applyNumberFormat="1" applyFont="1" applyFill="1" applyAlignment="1">
      <alignment horizontal="left" vertical="center"/>
    </xf>
    <xf numFmtId="3" fontId="15" fillId="12" borderId="0" xfId="0" applyNumberFormat="1" applyFont="1" applyFill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165" fontId="15" fillId="12" borderId="29" xfId="1" applyNumberFormat="1" applyFont="1" applyFill="1" applyBorder="1" applyAlignment="1">
      <alignment horizontal="right" vertical="center"/>
    </xf>
    <xf numFmtId="3" fontId="11" fillId="0" borderId="12" xfId="0" applyNumberFormat="1" applyFont="1" applyBorder="1" applyAlignment="1">
      <alignment horizontal="left" vertical="center"/>
    </xf>
    <xf numFmtId="3" fontId="15" fillId="5" borderId="4" xfId="0" applyNumberFormat="1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15" fillId="0" borderId="4" xfId="0" applyNumberFormat="1" applyFont="1" applyBorder="1" applyAlignment="1">
      <alignment horizontal="left" vertical="center"/>
    </xf>
    <xf numFmtId="3" fontId="15" fillId="12" borderId="4" xfId="0" applyNumberFormat="1" applyFont="1" applyFill="1" applyBorder="1" applyAlignment="1">
      <alignment horizontal="left" vertical="center"/>
    </xf>
    <xf numFmtId="3" fontId="15" fillId="12" borderId="1" xfId="0" applyNumberFormat="1" applyFont="1" applyFill="1" applyBorder="1" applyAlignment="1">
      <alignment horizontal="right" vertical="center"/>
    </xf>
    <xf numFmtId="43" fontId="11" fillId="0" borderId="12" xfId="1" applyFont="1" applyBorder="1" applyAlignment="1">
      <alignment vertical="center" wrapText="1"/>
    </xf>
    <xf numFmtId="3" fontId="12" fillId="0" borderId="33" xfId="1" applyNumberFormat="1" applyFont="1" applyBorder="1"/>
    <xf numFmtId="164" fontId="12" fillId="0" borderId="33" xfId="1" applyNumberFormat="1" applyFont="1" applyBorder="1"/>
    <xf numFmtId="3" fontId="0" fillId="6" borderId="4" xfId="0" applyNumberFormat="1" applyFill="1" applyBorder="1" applyAlignment="1">
      <alignment horizontal="left"/>
    </xf>
    <xf numFmtId="3" fontId="0" fillId="6" borderId="3" xfId="0" applyNumberFormat="1" applyFill="1" applyBorder="1" applyAlignment="1">
      <alignment horizontal="left"/>
    </xf>
    <xf numFmtId="165" fontId="0" fillId="6" borderId="0" xfId="1" applyNumberFormat="1" applyFont="1" applyFill="1" applyBorder="1"/>
    <xf numFmtId="0" fontId="12" fillId="0" borderId="34" xfId="0" applyFont="1" applyBorder="1" applyAlignment="1">
      <alignment horizontal="left"/>
    </xf>
    <xf numFmtId="0" fontId="12" fillId="0" borderId="34" xfId="0" applyFont="1" applyBorder="1"/>
    <xf numFmtId="1" fontId="9" fillId="0" borderId="3" xfId="0" applyNumberFormat="1" applyFont="1" applyBorder="1" applyAlignment="1">
      <alignment horizontal="center" vertical="center"/>
    </xf>
    <xf numFmtId="1" fontId="9" fillId="12" borderId="3" xfId="0" applyNumberFormat="1" applyFont="1" applyFill="1" applyBorder="1" applyAlignment="1">
      <alignment horizontal="center" vertical="center"/>
    </xf>
    <xf numFmtId="1" fontId="17" fillId="10" borderId="3" xfId="0" applyNumberFormat="1" applyFont="1" applyFill="1" applyBorder="1" applyAlignment="1">
      <alignment horizontal="center" vertical="center"/>
    </xf>
    <xf numFmtId="1" fontId="9" fillId="12" borderId="4" xfId="0" applyNumberFormat="1" applyFont="1" applyFill="1" applyBorder="1" applyAlignment="1">
      <alignment horizontal="center" vertical="center"/>
    </xf>
    <xf numFmtId="1" fontId="9" fillId="12" borderId="27" xfId="0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1" fontId="9" fillId="12" borderId="31" xfId="0" applyNumberFormat="1" applyFont="1" applyFill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17" fillId="10" borderId="31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" fontId="12" fillId="0" borderId="34" xfId="0" applyNumberFormat="1" applyFont="1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0" borderId="0" xfId="1" applyNumberFormat="1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3" fillId="9" borderId="0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4" fontId="3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13" borderId="37" xfId="0" applyFont="1" applyFill="1" applyBorder="1" applyAlignment="1">
      <alignment horizontal="center" vertical="center" wrapText="1"/>
    </xf>
    <xf numFmtId="0" fontId="23" fillId="14" borderId="38" xfId="0" applyFont="1" applyFill="1" applyBorder="1" applyAlignment="1">
      <alignment horizontal="center" vertical="center" wrapText="1"/>
    </xf>
    <xf numFmtId="0" fontId="24" fillId="13" borderId="38" xfId="0" applyFont="1" applyFill="1" applyBorder="1" applyAlignment="1">
      <alignment horizontal="center" vertical="center" wrapText="1"/>
    </xf>
    <xf numFmtId="0" fontId="23" fillId="13" borderId="38" xfId="0" applyFont="1" applyFill="1" applyBorder="1" applyAlignment="1">
      <alignment horizontal="center" vertical="center" wrapText="1"/>
    </xf>
    <xf numFmtId="0" fontId="23" fillId="13" borderId="38" xfId="0" applyFont="1" applyFill="1" applyBorder="1" applyAlignment="1">
      <alignment vertical="center" wrapText="1"/>
    </xf>
    <xf numFmtId="0" fontId="21" fillId="12" borderId="39" xfId="0" applyFont="1" applyFill="1" applyBorder="1" applyAlignment="1">
      <alignment horizontal="center" vertical="center" wrapText="1"/>
    </xf>
    <xf numFmtId="0" fontId="22" fillId="14" borderId="41" xfId="0" applyFont="1" applyFill="1" applyBorder="1" applyAlignment="1">
      <alignment horizontal="center" vertical="center"/>
    </xf>
    <xf numFmtId="0" fontId="22" fillId="14" borderId="40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14" fontId="22" fillId="12" borderId="40" xfId="0" applyNumberFormat="1" applyFont="1" applyFill="1" applyBorder="1" applyAlignment="1">
      <alignment horizontal="center" vertical="center"/>
    </xf>
    <xf numFmtId="0" fontId="20" fillId="12" borderId="40" xfId="0" applyFont="1" applyFill="1" applyBorder="1" applyAlignment="1">
      <alignment horizontal="center" vertical="center"/>
    </xf>
    <xf numFmtId="0" fontId="20" fillId="12" borderId="40" xfId="0" applyFont="1" applyFill="1" applyBorder="1" applyAlignment="1">
      <alignment vertical="center"/>
    </xf>
    <xf numFmtId="14" fontId="20" fillId="12" borderId="40" xfId="0" applyNumberFormat="1" applyFont="1" applyFill="1" applyBorder="1" applyAlignment="1">
      <alignment horizontal="center" vertical="center"/>
    </xf>
    <xf numFmtId="0" fontId="21" fillId="0" borderId="39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14" fontId="22" fillId="0" borderId="40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0" xfId="0" applyFont="1" applyBorder="1" applyAlignment="1">
      <alignment vertical="center"/>
    </xf>
    <xf numFmtId="0" fontId="22" fillId="12" borderId="39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15" borderId="40" xfId="0" applyFont="1" applyFill="1" applyBorder="1" applyAlignment="1">
      <alignment horizontal="center" vertical="center"/>
    </xf>
    <xf numFmtId="0" fontId="19" fillId="12" borderId="39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14" borderId="40" xfId="0" applyFont="1" applyFill="1" applyBorder="1" applyAlignment="1">
      <alignment horizontal="center" vertical="center"/>
    </xf>
    <xf numFmtId="0" fontId="15" fillId="12" borderId="39" xfId="0" applyFont="1" applyFill="1" applyBorder="1" applyAlignment="1">
      <alignment vertical="center"/>
    </xf>
    <xf numFmtId="0" fontId="20" fillId="5" borderId="40" xfId="0" applyFont="1" applyFill="1" applyBorder="1" applyAlignment="1">
      <alignment horizontal="center" vertical="center"/>
    </xf>
    <xf numFmtId="14" fontId="20" fillId="5" borderId="40" xfId="0" applyNumberFormat="1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vertical="center"/>
    </xf>
    <xf numFmtId="0" fontId="20" fillId="12" borderId="39" xfId="0" applyFont="1" applyFill="1" applyBorder="1" applyAlignment="1">
      <alignment horizontal="center" vertical="center" wrapText="1"/>
    </xf>
    <xf numFmtId="0" fontId="22" fillId="3" borderId="39" xfId="0" applyFont="1" applyFill="1" applyBorder="1" applyAlignment="1">
      <alignment horizontal="center" vertical="center" wrapText="1"/>
    </xf>
    <xf numFmtId="0" fontId="22" fillId="3" borderId="40" xfId="0" applyFont="1" applyFill="1" applyBorder="1" applyAlignment="1">
      <alignment horizontal="center" vertical="center"/>
    </xf>
    <xf numFmtId="14" fontId="22" fillId="3" borderId="40" xfId="0" applyNumberFormat="1" applyFont="1" applyFill="1" applyBorder="1" applyAlignment="1">
      <alignment horizontal="center" vertical="center"/>
    </xf>
    <xf numFmtId="14" fontId="20" fillId="0" borderId="40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vertical="center"/>
    </xf>
    <xf numFmtId="43" fontId="23" fillId="13" borderId="38" xfId="1" applyFont="1" applyFill="1" applyBorder="1" applyAlignment="1">
      <alignment horizontal="center" vertical="center" wrapText="1"/>
    </xf>
    <xf numFmtId="43" fontId="20" fillId="12" borderId="40" xfId="1" applyFont="1" applyFill="1" applyBorder="1" applyAlignment="1">
      <alignment horizontal="center" vertical="center"/>
    </xf>
    <xf numFmtId="43" fontId="20" fillId="0" borderId="40" xfId="1" applyFont="1" applyBorder="1" applyAlignment="1">
      <alignment horizontal="center" vertical="center"/>
    </xf>
    <xf numFmtId="43" fontId="0" fillId="0" borderId="0" xfId="1" applyFont="1" applyAlignment="1">
      <alignment horizontal="center"/>
    </xf>
    <xf numFmtId="0" fontId="0" fillId="0" borderId="0" xfId="0" applyAlignment="1">
      <alignment wrapText="1"/>
    </xf>
    <xf numFmtId="0" fontId="25" fillId="0" borderId="5" xfId="0" applyFont="1" applyBorder="1" applyAlignment="1">
      <alignment vertical="center" wrapText="1"/>
    </xf>
    <xf numFmtId="0" fontId="25" fillId="0" borderId="5" xfId="0" applyFont="1" applyBorder="1" applyAlignment="1">
      <alignment horizontal="right" vertical="center" wrapText="1"/>
    </xf>
    <xf numFmtId="3" fontId="26" fillId="0" borderId="5" xfId="0" applyNumberFormat="1" applyFont="1" applyBorder="1" applyAlignment="1">
      <alignment horizontal="right" vertical="center" wrapText="1"/>
    </xf>
    <xf numFmtId="16" fontId="26" fillId="0" borderId="5" xfId="0" applyNumberFormat="1" applyFont="1" applyBorder="1" applyAlignment="1">
      <alignment horizontal="right" vertical="center" wrapText="1"/>
    </xf>
    <xf numFmtId="0" fontId="15" fillId="0" borderId="5" xfId="0" applyFont="1" applyBorder="1" applyAlignment="1">
      <alignment vertical="center"/>
    </xf>
    <xf numFmtId="43" fontId="13" fillId="0" borderId="5" xfId="1" applyFont="1" applyBorder="1" applyAlignment="1">
      <alignment horizontal="center" vertical="center"/>
    </xf>
    <xf numFmtId="3" fontId="26" fillId="0" borderId="5" xfId="0" applyNumberFormat="1" applyFont="1" applyBorder="1" applyAlignment="1">
      <alignment vertical="center"/>
    </xf>
    <xf numFmtId="0" fontId="26" fillId="0" borderId="5" xfId="0" applyFont="1" applyBorder="1" applyAlignment="1">
      <alignment horizontal="right" vertical="center" wrapText="1"/>
    </xf>
    <xf numFmtId="43" fontId="10" fillId="0" borderId="5" xfId="1" applyFont="1" applyBorder="1" applyAlignment="1">
      <alignment horizontal="center" vertical="center"/>
    </xf>
    <xf numFmtId="0" fontId="26" fillId="0" borderId="18" xfId="0" applyFont="1" applyBorder="1" applyAlignment="1">
      <alignment horizontal="right" vertical="center"/>
    </xf>
    <xf numFmtId="0" fontId="10" fillId="0" borderId="23" xfId="0" applyFont="1" applyBorder="1" applyAlignment="1">
      <alignment horizontal="center" vertical="center"/>
    </xf>
    <xf numFmtId="0" fontId="25" fillId="0" borderId="18" xfId="0" applyFont="1" applyBorder="1" applyAlignment="1">
      <alignment horizontal="right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6" fillId="0" borderId="19" xfId="0" applyFont="1" applyBorder="1" applyAlignment="1">
      <alignment horizontal="right" vertical="center" wrapText="1"/>
    </xf>
    <xf numFmtId="0" fontId="0" fillId="0" borderId="19" xfId="0" applyBorder="1"/>
    <xf numFmtId="43" fontId="13" fillId="0" borderId="19" xfId="1" applyFont="1" applyBorder="1" applyAlignment="1">
      <alignment horizontal="center" vertical="center"/>
    </xf>
    <xf numFmtId="3" fontId="26" fillId="0" borderId="19" xfId="0" applyNumberFormat="1" applyFont="1" applyBorder="1" applyAlignment="1">
      <alignment vertical="center"/>
    </xf>
    <xf numFmtId="0" fontId="26" fillId="0" borderId="20" xfId="0" applyFont="1" applyBorder="1" applyAlignment="1">
      <alignment horizontal="right" vertical="center"/>
    </xf>
    <xf numFmtId="0" fontId="20" fillId="12" borderId="40" xfId="0" applyFont="1" applyFill="1" applyBorder="1" applyAlignment="1">
      <alignment vertical="center" wrapText="1"/>
    </xf>
    <xf numFmtId="0" fontId="20" fillId="0" borderId="40" xfId="0" applyFont="1" applyBorder="1" applyAlignment="1">
      <alignment vertical="center" wrapText="1"/>
    </xf>
    <xf numFmtId="0" fontId="20" fillId="12" borderId="40" xfId="0" applyFont="1" applyFill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0" fillId="0" borderId="19" xfId="0" applyBorder="1" applyAlignment="1">
      <alignment wrapText="1"/>
    </xf>
    <xf numFmtId="0" fontId="9" fillId="16" borderId="23" xfId="0" applyFont="1" applyFill="1" applyBorder="1" applyAlignment="1">
      <alignment horizontal="center" vertical="center"/>
    </xf>
    <xf numFmtId="0" fontId="13" fillId="16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26" fillId="0" borderId="25" xfId="0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43" fontId="13" fillId="0" borderId="13" xfId="1" applyFont="1" applyBorder="1" applyAlignment="1">
      <alignment horizontal="center" vertical="center"/>
    </xf>
    <xf numFmtId="0" fontId="2" fillId="0" borderId="13" xfId="0" applyFont="1" applyBorder="1"/>
    <xf numFmtId="0" fontId="2" fillId="0" borderId="6" xfId="0" applyFont="1" applyBorder="1"/>
    <xf numFmtId="0" fontId="10" fillId="0" borderId="36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43" fontId="10" fillId="0" borderId="15" xfId="1" applyFont="1" applyBorder="1" applyAlignment="1">
      <alignment horizontal="center" vertical="top" wrapText="1"/>
    </xf>
    <xf numFmtId="0" fontId="25" fillId="0" borderId="15" xfId="0" applyFont="1" applyBorder="1" applyAlignment="1">
      <alignment vertical="top" wrapText="1"/>
    </xf>
    <xf numFmtId="0" fontId="25" fillId="0" borderId="17" xfId="0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13" fillId="0" borderId="9" xfId="0" applyFont="1" applyBorder="1" applyAlignment="1">
      <alignment horizontal="center" vertical="center"/>
    </xf>
    <xf numFmtId="3" fontId="26" fillId="0" borderId="22" xfId="0" applyNumberFormat="1" applyFont="1" applyBorder="1" applyAlignment="1">
      <alignment horizontal="right" vertical="center" wrapText="1"/>
    </xf>
    <xf numFmtId="16" fontId="26" fillId="0" borderId="22" xfId="0" applyNumberFormat="1" applyFont="1" applyBorder="1" applyAlignment="1">
      <alignment horizontal="right" vertical="center" wrapText="1"/>
    </xf>
    <xf numFmtId="0" fontId="15" fillId="0" borderId="22" xfId="0" applyFont="1" applyBorder="1" applyAlignment="1">
      <alignment vertical="center"/>
    </xf>
    <xf numFmtId="0" fontId="15" fillId="0" borderId="22" xfId="0" applyFont="1" applyBorder="1" applyAlignment="1">
      <alignment vertical="center" wrapText="1"/>
    </xf>
    <xf numFmtId="43" fontId="13" fillId="0" borderId="22" xfId="1" applyFont="1" applyBorder="1" applyAlignment="1">
      <alignment horizontal="center" vertical="center"/>
    </xf>
    <xf numFmtId="3" fontId="26" fillId="0" borderId="22" xfId="0" applyNumberFormat="1" applyFont="1" applyBorder="1" applyAlignment="1">
      <alignment vertical="center"/>
    </xf>
    <xf numFmtId="0" fontId="26" fillId="0" borderId="8" xfId="0" applyFont="1" applyBorder="1" applyAlignment="1">
      <alignment horizontal="right" vertical="center"/>
    </xf>
    <xf numFmtId="14" fontId="13" fillId="0" borderId="5" xfId="1" applyNumberFormat="1" applyFont="1" applyBorder="1" applyAlignment="1">
      <alignment horizontal="center" vertical="center"/>
    </xf>
    <xf numFmtId="14" fontId="26" fillId="0" borderId="5" xfId="0" applyNumberFormat="1" applyFont="1" applyBorder="1" applyAlignment="1">
      <alignment vertical="center"/>
    </xf>
    <xf numFmtId="14" fontId="13" fillId="0" borderId="13" xfId="1" applyNumberFormat="1" applyFont="1" applyBorder="1" applyAlignment="1">
      <alignment horizontal="center" vertical="center"/>
    </xf>
    <xf numFmtId="14" fontId="2" fillId="0" borderId="13" xfId="0" applyNumberFormat="1" applyFont="1" applyBorder="1"/>
    <xf numFmtId="14" fontId="10" fillId="0" borderId="5" xfId="1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vertical="center" wrapText="1"/>
    </xf>
    <xf numFmtId="14" fontId="13" fillId="0" borderId="19" xfId="1" applyNumberFormat="1" applyFont="1" applyBorder="1" applyAlignment="1">
      <alignment horizontal="center" vertical="center"/>
    </xf>
    <xf numFmtId="14" fontId="26" fillId="0" borderId="19" xfId="0" applyNumberFormat="1" applyFont="1" applyBorder="1" applyAlignment="1">
      <alignment vertical="center"/>
    </xf>
    <xf numFmtId="165" fontId="28" fillId="0" borderId="0" xfId="1" applyNumberFormat="1" applyFont="1" applyFill="1" applyBorder="1" applyAlignment="1">
      <alignment horizontal="center" vertical="center"/>
    </xf>
    <xf numFmtId="14" fontId="28" fillId="0" borderId="0" xfId="1" applyNumberFormat="1" applyFont="1" applyFill="1" applyBorder="1" applyAlignment="1">
      <alignment horizontal="center" vertical="center"/>
    </xf>
    <xf numFmtId="0" fontId="29" fillId="17" borderId="35" xfId="0" applyFont="1" applyFill="1" applyBorder="1" applyAlignment="1">
      <alignment horizontal="center" vertical="center" wrapText="1"/>
    </xf>
    <xf numFmtId="0" fontId="29" fillId="17" borderId="11" xfId="0" applyFont="1" applyFill="1" applyBorder="1" applyAlignment="1">
      <alignment horizontal="center" vertical="center" wrapText="1"/>
    </xf>
    <xf numFmtId="1" fontId="30" fillId="17" borderId="10" xfId="0" applyNumberFormat="1" applyFont="1" applyFill="1" applyBorder="1" applyAlignment="1">
      <alignment horizontal="center" vertical="center" wrapText="1"/>
    </xf>
    <xf numFmtId="0" fontId="29" fillId="17" borderId="43" xfId="0" applyFont="1" applyFill="1" applyBorder="1" applyAlignment="1">
      <alignment horizontal="center" vertical="center" wrapText="1"/>
    </xf>
    <xf numFmtId="0" fontId="31" fillId="17" borderId="11" xfId="0" applyFont="1" applyFill="1" applyBorder="1" applyAlignment="1">
      <alignment horizontal="center" vertical="center" wrapText="1"/>
    </xf>
    <xf numFmtId="43" fontId="29" fillId="17" borderId="11" xfId="0" applyNumberFormat="1" applyFont="1" applyFill="1" applyBorder="1" applyAlignment="1">
      <alignment horizontal="center" vertical="center" wrapText="1"/>
    </xf>
    <xf numFmtId="43" fontId="29" fillId="9" borderId="11" xfId="0" applyNumberFormat="1" applyFont="1" applyFill="1" applyBorder="1" applyAlignment="1">
      <alignment horizontal="center" vertical="center" wrapText="1"/>
    </xf>
    <xf numFmtId="165" fontId="30" fillId="17" borderId="11" xfId="0" applyNumberFormat="1" applyFont="1" applyFill="1" applyBorder="1" applyAlignment="1">
      <alignment horizontal="center" vertical="center" wrapText="1"/>
    </xf>
    <xf numFmtId="0" fontId="32" fillId="17" borderId="11" xfId="0" applyFont="1" applyFill="1" applyBorder="1" applyAlignment="1">
      <alignment horizontal="center" vertical="center" wrapText="1"/>
    </xf>
    <xf numFmtId="14" fontId="29" fillId="17" borderId="11" xfId="0" applyNumberFormat="1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3" fontId="3" fillId="0" borderId="43" xfId="0" applyNumberFormat="1" applyFont="1" applyBorder="1" applyAlignment="1">
      <alignment horizontal="center" vertical="center"/>
    </xf>
    <xf numFmtId="164" fontId="3" fillId="0" borderId="35" xfId="1" applyNumberFormat="1" applyFont="1" applyBorder="1" applyAlignment="1">
      <alignment horizontal="center" vertical="center"/>
    </xf>
    <xf numFmtId="165" fontId="3" fillId="0" borderId="35" xfId="1" applyNumberFormat="1" applyFont="1" applyBorder="1" applyAlignment="1">
      <alignment horizontal="center" vertical="center"/>
    </xf>
    <xf numFmtId="165" fontId="3" fillId="9" borderId="35" xfId="1" applyNumberFormat="1" applyFont="1" applyFill="1" applyBorder="1" applyAlignment="1">
      <alignment horizontal="center" vertical="center"/>
    </xf>
    <xf numFmtId="165" fontId="28" fillId="0" borderId="35" xfId="1" applyNumberFormat="1" applyFont="1" applyBorder="1" applyAlignment="1">
      <alignment horizontal="center" vertical="center"/>
    </xf>
    <xf numFmtId="14" fontId="28" fillId="0" borderId="35" xfId="1" applyNumberFormat="1" applyFont="1" applyBorder="1" applyAlignment="1">
      <alignment horizontal="center" vertical="center"/>
    </xf>
    <xf numFmtId="165" fontId="3" fillId="2" borderId="35" xfId="1" applyNumberFormat="1" applyFont="1" applyFill="1" applyBorder="1" applyAlignment="1">
      <alignment horizontal="center" vertical="center"/>
    </xf>
    <xf numFmtId="165" fontId="3" fillId="8" borderId="35" xfId="1" applyNumberFormat="1" applyFont="1" applyFill="1" applyBorder="1" applyAlignment="1">
      <alignment horizontal="center" vertical="center"/>
    </xf>
    <xf numFmtId="14" fontId="3" fillId="8" borderId="35" xfId="1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164" fontId="3" fillId="0" borderId="35" xfId="1" applyNumberFormat="1" applyFont="1" applyFill="1" applyBorder="1" applyAlignment="1">
      <alignment horizontal="center" vertical="center"/>
    </xf>
    <xf numFmtId="165" fontId="3" fillId="0" borderId="35" xfId="1" applyNumberFormat="1" applyFont="1" applyFill="1" applyBorder="1" applyAlignment="1">
      <alignment horizontal="center" vertical="center"/>
    </xf>
    <xf numFmtId="165" fontId="28" fillId="0" borderId="35" xfId="1" applyNumberFormat="1" applyFont="1" applyFill="1" applyBorder="1" applyAlignment="1">
      <alignment horizontal="center" vertical="center"/>
    </xf>
    <xf numFmtId="1" fontId="29" fillId="0" borderId="0" xfId="1" applyNumberFormat="1" applyFont="1" applyFill="1" applyBorder="1" applyAlignment="1">
      <alignment horizontal="center" vertical="center" wrapText="1"/>
    </xf>
    <xf numFmtId="165" fontId="29" fillId="0" borderId="0" xfId="1" applyNumberFormat="1" applyFont="1" applyFill="1" applyBorder="1" applyAlignment="1">
      <alignment horizontal="center" vertical="center" wrapText="1"/>
    </xf>
    <xf numFmtId="165" fontId="29" fillId="0" borderId="0" xfId="0" applyNumberFormat="1" applyFont="1" applyAlignment="1">
      <alignment horizontal="center" vertical="center" wrapText="1"/>
    </xf>
    <xf numFmtId="14" fontId="29" fillId="0" borderId="0" xfId="0" applyNumberFormat="1" applyFont="1" applyAlignment="1">
      <alignment horizontal="center" vertical="center" wrapText="1"/>
    </xf>
    <xf numFmtId="0" fontId="3" fillId="18" borderId="0" xfId="0" applyFont="1" applyFill="1" applyAlignment="1">
      <alignment horizontal="center" vertical="center"/>
    </xf>
    <xf numFmtId="165" fontId="3" fillId="18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4" fillId="9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3" fillId="0" borderId="0" xfId="1" applyNumberFormat="1" applyFont="1" applyFill="1" applyAlignment="1">
      <alignment horizontal="center" vertical="center"/>
    </xf>
    <xf numFmtId="165" fontId="6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165" fontId="3" fillId="9" borderId="0" xfId="1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35" xfId="0" applyFont="1" applyBorder="1" applyAlignment="1">
      <alignment horizontal="left" vertical="center" wrapText="1"/>
    </xf>
    <xf numFmtId="0" fontId="12" fillId="5" borderId="5" xfId="0" applyFont="1" applyFill="1" applyBorder="1"/>
    <xf numFmtId="0" fontId="35" fillId="19" borderId="0" xfId="0" applyFont="1" applyFill="1"/>
    <xf numFmtId="0" fontId="3" fillId="20" borderId="0" xfId="0" applyFont="1" applyFill="1" applyAlignment="1">
      <alignment horizontal="center" vertical="center"/>
    </xf>
    <xf numFmtId="1" fontId="3" fillId="20" borderId="0" xfId="0" applyNumberFormat="1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1" fontId="0" fillId="20" borderId="0" xfId="0" applyNumberFormat="1" applyFill="1" applyAlignment="1">
      <alignment horizontal="center" vertical="center"/>
    </xf>
    <xf numFmtId="43" fontId="3" fillId="20" borderId="0" xfId="1" applyFont="1" applyFill="1" applyAlignment="1">
      <alignment horizontal="center" vertical="center"/>
    </xf>
    <xf numFmtId="43" fontId="4" fillId="20" borderId="0" xfId="1" applyFont="1" applyFill="1" applyAlignment="1">
      <alignment horizontal="center" vertical="center"/>
    </xf>
    <xf numFmtId="165" fontId="0" fillId="20" borderId="0" xfId="1" applyNumberFormat="1" applyFont="1" applyFill="1" applyAlignment="1">
      <alignment horizontal="center" vertical="center"/>
    </xf>
    <xf numFmtId="14" fontId="0" fillId="20" borderId="0" xfId="0" applyNumberFormat="1" applyFill="1" applyAlignment="1">
      <alignment horizontal="center" vertical="center"/>
    </xf>
    <xf numFmtId="1" fontId="0" fillId="20" borderId="0" xfId="1" applyNumberFormat="1" applyFont="1" applyFill="1" applyAlignment="1">
      <alignment horizontal="center" vertical="center"/>
    </xf>
    <xf numFmtId="0" fontId="0" fillId="20" borderId="0" xfId="1" applyNumberFormat="1" applyFont="1" applyFill="1" applyAlignment="1">
      <alignment horizontal="center" vertical="center"/>
    </xf>
    <xf numFmtId="165" fontId="14" fillId="20" borderId="0" xfId="1" applyNumberFormat="1" applyFont="1" applyFill="1" applyAlignment="1">
      <alignment horizontal="center" vertical="center"/>
    </xf>
    <xf numFmtId="1" fontId="3" fillId="20" borderId="0" xfId="1" applyNumberFormat="1" applyFont="1" applyFill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4" fillId="5" borderId="5" xfId="0" applyFont="1" applyFill="1" applyBorder="1" applyAlignment="1">
      <alignment horizontal="left" vertical="center" wrapText="1"/>
    </xf>
    <xf numFmtId="0" fontId="0" fillId="20" borderId="0" xfId="0" applyFill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2" fillId="7" borderId="5" xfId="0" applyFont="1" applyFill="1" applyBorder="1"/>
    <xf numFmtId="0" fontId="12" fillId="0" borderId="0" xfId="0" applyFont="1"/>
    <xf numFmtId="0" fontId="2" fillId="0" borderId="0" xfId="0" applyFont="1" applyBorder="1" applyAlignment="1">
      <alignment horizontal="left" vertical="center" wrapText="1"/>
    </xf>
    <xf numFmtId="165" fontId="0" fillId="0" borderId="0" xfId="0" applyNumberFormat="1" applyFont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168" fontId="3" fillId="20" borderId="0" xfId="1" applyNumberFormat="1" applyFont="1" applyFill="1" applyAlignment="1">
      <alignment vertical="center"/>
    </xf>
    <xf numFmtId="168" fontId="3" fillId="2" borderId="0" xfId="1" applyNumberFormat="1" applyFont="1" applyFill="1" applyAlignment="1">
      <alignment vertical="center"/>
    </xf>
    <xf numFmtId="168" fontId="3" fillId="2" borderId="0" xfId="1" applyNumberFormat="1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165" fontId="0" fillId="0" borderId="0" xfId="0" applyNumberForma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7" xfId="0" applyFont="1" applyBorder="1"/>
    <xf numFmtId="0" fontId="0" fillId="7" borderId="21" xfId="0" applyFill="1" applyBorder="1"/>
    <xf numFmtId="0" fontId="12" fillId="5" borderId="21" xfId="0" applyFont="1" applyFill="1" applyBorder="1"/>
    <xf numFmtId="0" fontId="12" fillId="7" borderId="21" xfId="0" applyFont="1" applyFill="1" applyBorder="1"/>
    <xf numFmtId="0" fontId="0" fillId="5" borderId="21" xfId="0" applyFill="1" applyBorder="1"/>
    <xf numFmtId="0" fontId="12" fillId="5" borderId="7" xfId="0" applyFont="1" applyFill="1" applyBorder="1"/>
    <xf numFmtId="0" fontId="12" fillId="5" borderId="13" xfId="0" applyFont="1" applyFill="1" applyBorder="1"/>
    <xf numFmtId="14" fontId="3" fillId="0" borderId="0" xfId="2" applyNumberFormat="1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165" fontId="36" fillId="20" borderId="0" xfId="1" applyNumberFormat="1" applyFont="1" applyFill="1" applyAlignment="1">
      <alignment horizontal="center" vertical="center"/>
    </xf>
    <xf numFmtId="165" fontId="36" fillId="0" borderId="0" xfId="1" applyNumberFormat="1" applyFont="1" applyFill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3" fontId="2" fillId="0" borderId="44" xfId="1" applyNumberFormat="1" applyFont="1" applyFill="1" applyBorder="1" applyAlignment="1">
      <alignment horizontal="center" vertical="center"/>
    </xf>
    <xf numFmtId="3" fontId="2" fillId="0" borderId="44" xfId="0" applyNumberFormat="1" applyFont="1" applyFill="1" applyBorder="1" applyAlignment="1">
      <alignment horizontal="center" vertical="center"/>
    </xf>
    <xf numFmtId="3" fontId="2" fillId="0" borderId="45" xfId="1" applyNumberFormat="1" applyFont="1" applyFill="1" applyBorder="1" applyAlignment="1">
      <alignment horizontal="center" vertical="center"/>
    </xf>
    <xf numFmtId="3" fontId="3" fillId="0" borderId="45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 wrapText="1"/>
    </xf>
    <xf numFmtId="1" fontId="29" fillId="17" borderId="11" xfId="0" applyNumberFormat="1" applyFont="1" applyFill="1" applyBorder="1" applyAlignment="1">
      <alignment horizontal="center" vertical="center" wrapText="1"/>
    </xf>
    <xf numFmtId="16" fontId="32" fillId="20" borderId="16" xfId="0" applyNumberFormat="1" applyFont="1" applyFill="1" applyBorder="1" applyAlignment="1">
      <alignment vertical="center" wrapText="1"/>
    </xf>
    <xf numFmtId="0" fontId="32" fillId="20" borderId="47" xfId="0" applyFont="1" applyFill="1" applyBorder="1" applyAlignment="1">
      <alignment vertical="center" wrapText="1"/>
    </xf>
    <xf numFmtId="0" fontId="37" fillId="0" borderId="0" xfId="0" applyFont="1" applyAlignment="1">
      <alignment horizontal="left" vertical="top" wrapText="1"/>
    </xf>
    <xf numFmtId="1" fontId="37" fillId="0" borderId="42" xfId="0" applyNumberFormat="1" applyFont="1" applyBorder="1" applyAlignment="1">
      <alignment horizontal="center" vertical="top" wrapText="1"/>
    </xf>
    <xf numFmtId="0" fontId="37" fillId="0" borderId="42" xfId="0" applyFont="1" applyBorder="1" applyAlignment="1">
      <alignment horizontal="center" vertical="top" wrapText="1"/>
    </xf>
    <xf numFmtId="43" fontId="37" fillId="9" borderId="0" xfId="0" applyNumberFormat="1" applyFont="1" applyFill="1" applyAlignment="1">
      <alignment horizontal="center" vertical="top" wrapText="1"/>
    </xf>
    <xf numFmtId="165" fontId="37" fillId="0" borderId="0" xfId="0" applyNumberFormat="1" applyFont="1" applyAlignment="1">
      <alignment horizontal="center" vertical="top" wrapText="1"/>
    </xf>
    <xf numFmtId="0" fontId="37" fillId="0" borderId="0" xfId="0" applyFont="1" applyAlignment="1">
      <alignment horizontal="center" vertical="top" wrapText="1"/>
    </xf>
    <xf numFmtId="165" fontId="37" fillId="0" borderId="0" xfId="1" applyNumberFormat="1" applyFont="1" applyAlignment="1">
      <alignment horizontal="center" vertical="top" wrapText="1"/>
    </xf>
    <xf numFmtId="14" fontId="37" fillId="0" borderId="0" xfId="0" applyNumberFormat="1" applyFont="1" applyAlignment="1">
      <alignment horizontal="center" vertical="top" wrapText="1"/>
    </xf>
    <xf numFmtId="1" fontId="37" fillId="0" borderId="0" xfId="1" applyNumberFormat="1" applyFont="1" applyFill="1" applyBorder="1" applyAlignment="1">
      <alignment horizontal="center" vertical="top" wrapText="1"/>
    </xf>
    <xf numFmtId="165" fontId="37" fillId="0" borderId="0" xfId="1" applyNumberFormat="1" applyFont="1" applyFill="1" applyBorder="1" applyAlignment="1">
      <alignment horizontal="center" vertical="top" wrapText="1"/>
    </xf>
    <xf numFmtId="0" fontId="37" fillId="0" borderId="0" xfId="1" applyNumberFormat="1" applyFont="1" applyFill="1" applyBorder="1" applyAlignment="1">
      <alignment horizontal="center" vertical="top" wrapText="1"/>
    </xf>
    <xf numFmtId="168" fontId="37" fillId="0" borderId="0" xfId="1" applyNumberFormat="1" applyFont="1" applyAlignment="1">
      <alignment vertical="top" wrapText="1"/>
    </xf>
    <xf numFmtId="1" fontId="37" fillId="0" borderId="0" xfId="0" applyNumberFormat="1" applyFont="1" applyAlignment="1">
      <alignment horizontal="center" vertical="top" wrapText="1"/>
    </xf>
    <xf numFmtId="0" fontId="37" fillId="18" borderId="0" xfId="0" applyFont="1" applyFill="1" applyAlignment="1">
      <alignment horizontal="center" vertical="top" wrapText="1"/>
    </xf>
    <xf numFmtId="0" fontId="3" fillId="20" borderId="0" xfId="0" applyFont="1" applyFill="1" applyAlignment="1">
      <alignment horizontal="center" vertical="top" wrapText="1"/>
    </xf>
    <xf numFmtId="165" fontId="37" fillId="0" borderId="0" xfId="1" applyNumberFormat="1" applyFont="1" applyFill="1" applyAlignment="1">
      <alignment horizontal="center" vertical="top" wrapText="1"/>
    </xf>
    <xf numFmtId="165" fontId="33" fillId="0" borderId="0" xfId="1" applyNumberFormat="1" applyFont="1" applyFill="1" applyBorder="1" applyAlignment="1">
      <alignment horizontal="center" vertical="center"/>
    </xf>
    <xf numFmtId="14" fontId="33" fillId="0" borderId="0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14" fillId="0" borderId="0" xfId="0" applyNumberFormat="1" applyFont="1" applyFill="1" applyAlignment="1">
      <alignment horizontal="center" vertical="center"/>
    </xf>
  </cellXfs>
  <cellStyles count="4">
    <cellStyle name="Normal" xfId="0" builtinId="0"/>
    <cellStyle name="Porcentagem" xfId="2" builtinId="5"/>
    <cellStyle name="Vírgula" xfId="1" builtinId="3"/>
    <cellStyle name="Vírgula 2" xfId="3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1" formatCode="dd/mmm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vertical="top" textRotation="0" wrapText="1" indent="0" justifyLastLine="0" shrinkToFit="0" readingOrder="0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5" formatCode="_-* #,##0.00_-;\-* #,##0.00_-;_-* &quot;-&quot;??_-;_-@_-"/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5" formatCode="_-* #,##0.00_-;\-* #,##0.00_-;_-* &quot;-&quot;??_-;_-@_-"/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rgb="FFD9D9D9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rgb="FFD9D9D9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color rgb="FF000000"/>
      </font>
      <numFmt numFmtId="164" formatCode="_-* #,##0.0_-;\-* #,##0.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" formatCode="#,##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numFmt numFmtId="3" formatCode="#,##0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rgb="FFD9D9D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indexed="64"/>
          <bgColor rgb="FFD9D9D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numFmt numFmtId="0" formatCode="General"/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theme="0" tint="-0.249977111117893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8" formatCode="_-* #,##0.000_-;\-* #,##0.000_-;_-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8" formatCode="_-* #,##0.000_-;\-* #,##0.000_-;_-* &quot;-&quot;??_-;_-@_-"/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* #,##0_-;\-* #,##0_-;_-* &quot;-&quot;??_-;_-@_-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5" formatCode="_-* #,##0.00_-;\-* #,##0.00_-;_-* &quot;-&quot;??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theme="5" tint="0.3999755851924192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1">
      <tableStyleElement type="wholeTable" dxfId="120"/>
    </tableStyle>
  </tableStyles>
  <colors>
    <mruColors>
      <color rgb="FFFF7979"/>
      <color rgb="FF743A00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planejament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4</xdr:row>
      <xdr:rowOff>142875</xdr:rowOff>
    </xdr:from>
    <xdr:to>
      <xdr:col>5</xdr:col>
      <xdr:colOff>66675</xdr:colOff>
      <xdr:row>10</xdr:row>
      <xdr:rowOff>66675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/>
      </xdr:nvSpPr>
      <xdr:spPr>
        <a:xfrm>
          <a:off x="1114425" y="904875"/>
          <a:ext cx="2000250" cy="1066800"/>
        </a:xfrm>
        <a:prstGeom prst="roundRect">
          <a:avLst/>
        </a:prstGeom>
        <a:scene3d>
          <a:camera prst="orthographicFront"/>
          <a:lightRig rig="threePt" dir="t"/>
        </a:scene3d>
        <a:sp3d prstMaterial="metal">
          <a:bevelT w="107950" h="95250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u="sng"/>
            <a:t>PLANEJAMENTO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A2:Y73" totalsRowCount="1" headerRowDxfId="111" dataDxfId="110" totalsRowDxfId="109">
  <autoFilter ref="A2:Y72"/>
  <sortState ref="A6:AO86">
    <sortCondition ref="W5:W103"/>
  </sortState>
  <tableColumns count="25">
    <tableColumn id="3" name="Cod. Cx" dataDxfId="108" totalsRowDxfId="107"/>
    <tableColumn id="4" name="Descrição" dataDxfId="106" totalsRowDxfId="105"/>
    <tableColumn id="18" name="Tipo" dataDxfId="104" totalsRowDxfId="103"/>
    <tableColumn id="28" name="ML" dataDxfId="102" totalsRowDxfId="101"/>
    <tableColumn id="19" name="Categ." dataDxfId="100" totalsRowDxfId="99"/>
    <tableColumn id="5" name="CX" dataDxfId="98" totalsRowDxfId="97">
      <calculatedColumnFormula>IFERROR(VLOOKUP(A3,#REF!,5,0),"")</calculatedColumnFormula>
    </tableColumn>
    <tableColumn id="9" name="Média de Venda 2025" totalsRowFunction="custom" dataDxfId="96" totalsRowDxfId="95" dataCellStyle="Vírgula">
      <totalsRowFormula>SUBTOTAL(9,Tabela1[Média de Venda 2025])</totalsRowFormula>
    </tableColumn>
    <tableColumn id="8" name="Saldo Estoque" dataDxfId="94" totalsRowDxfId="93"/>
    <tableColumn id="29" name="Pedido" dataDxfId="92" totalsRowDxfId="91" dataCellStyle="Vírgula"/>
    <tableColumn id="12" name="Saldo Real" dataDxfId="90" totalsRowDxfId="89" dataCellStyle="Vírgula"/>
    <tableColumn id="13" name="Saldo em dias" dataDxfId="88" totalsRowDxfId="87" dataCellStyle="Vírgula"/>
    <tableColumn id="14" name="Necessidade de P.A" dataDxfId="86" totalsRowDxfId="85" dataCellStyle="Vírgula"/>
    <tableColumn id="17" name="Produzir" totalsRowFunction="custom" dataDxfId="84" totalsRowDxfId="83" dataCellStyle="Vírgula">
      <totalsRowFormula>SUBTOTAL(9,Tabela1[[#Headers],[#Data],[Produzir]])</totalsRowFormula>
    </tableColumn>
    <tableColumn id="20" name="Data produção" dataDxfId="82" totalsRowDxfId="81" dataCellStyle="Vírgula"/>
    <tableColumn id="33" name="Ordem" dataDxfId="80" totalsRowDxfId="79" dataCellStyle="Vírgula"/>
    <tableColumn id="31" name="Linha" dataDxfId="78" totalsRowDxfId="77" dataCellStyle="Vírgula"/>
    <tableColumn id="40" name="Lote" dataDxfId="76" totalsRowDxfId="75" dataCellStyle="Vírgula"/>
    <tableColumn id="21" name="QTD CX" dataDxfId="74" totalsRowDxfId="73" dataCellStyle="Vírgula">
      <calculatedColumnFormula>Tabela1[[#This Row],[Produzir]]/Tabela1[[#This Row],[CX]]</calculatedColumnFormula>
    </tableColumn>
    <tableColumn id="15" name="Necessidade S.A" totalsRowFunction="custom" dataDxfId="72" totalsRowDxfId="71" dataCellStyle="Vírgula">
      <calculatedColumnFormula>IFERROR(IF((Tabela1[[#This Row],[Produzir]])&gt;0,PRODUCT((Tabela1[[#This Row],[Produzir]])*Tabela1[[#This Row],[Volume]]),""),"")</calculatedColumnFormula>
      <totalsRowFormula>SUBTOTAL(9,Tabela1[[#Headers],[#Data],[Necessidade S.A]])</totalsRowFormula>
    </tableColumn>
    <tableColumn id="16" name="Volume" dataDxfId="70" totalsRowDxfId="69" dataCellStyle="Vírgula"/>
    <tableColumn id="23" name="Saldo após produção" dataDxfId="68" totalsRowDxfId="67" dataCellStyle="Vírgula"/>
    <tableColumn id="24" name="Saldo em dias após produção" dataDxfId="66" totalsRowDxfId="65" dataCellStyle="Vírgula"/>
    <tableColumn id="27" name="nº" dataDxfId="64" totalsRowDxfId="63" dataCellStyle="Vírgula"/>
    <tableColumn id="38" name="CURVA" dataDxfId="62" totalsRowDxfId="61" dataCellStyle="Vírgula"/>
    <tableColumn id="37" name="ESTOQUE CURVA ABC" totalsRowFunction="custom" dataDxfId="60" totalsRowDxfId="59" dataCellStyle="Vírgula">
      <calculatedColumnFormula>IF(Tabela1[[#This Row],[CURVA]]="AA",Tabela1[[#This Row],[Média de Venda 2025]]/3,IF(Tabela1[[#This Row],[CURVA]]="AB",Tabela1[[#This Row],[Média de Venda 2025]]/2,IF(Tabela1[[#This Row],[CURVA]]="AC",Tabela1[[#This Row],[Média de Venda 2025]],"")))</calculatedColumnFormula>
      <totalsRowFormula>SUBTOTAL(9,Y3:Y72)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id="11" name="Tabela112" displayName="Tabela112" ref="B2:E164" totalsRowShown="0" headerRowDxfId="58" tableBorderDxfId="57">
  <autoFilter ref="B2:E164"/>
  <tableColumns count="4">
    <tableColumn id="1" name="Código"/>
    <tableColumn id="2" name="Unidade"/>
    <tableColumn id="3" name="Descrição"/>
    <tableColumn id="4" name="Coluna1" dataDxfId="5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7" name="Tabela7" displayName="Tabela7" ref="A2:K61" totalsRowShown="0" tableBorderDxfId="55">
  <autoFilter ref="A2:K61"/>
  <sortState ref="A3:K61">
    <sortCondition ref="H2:H61"/>
  </sortState>
  <tableColumns count="11">
    <tableColumn id="1" name="CÓDIGO" dataDxfId="54"/>
    <tableColumn id="2" name="DESCRIÇÃO" dataDxfId="53"/>
    <tableColumn id="11" name="soma" dataDxfId="52"/>
    <tableColumn id="9" name="usou 13/02" dataDxfId="51"/>
    <tableColumn id="10" name="usou 2" dataDxfId="50"/>
    <tableColumn id="3" name="soma final" dataDxfId="49">
      <calculatedColumnFormula>Tabela7[[#This Row],[soma]]-Tabela7[[#This Row],[usou 13/02]]-Tabela7[[#This Row],[usou 2]]</calculatedColumnFormula>
    </tableColumn>
    <tableColumn id="4" name="media" dataDxfId="48"/>
    <tableColumn id="5" name="saldo de estoque em meses" dataDxfId="47" dataCellStyle="Vírgula"/>
    <tableColumn id="6" name="obs:" dataDxfId="46" dataCellStyle="Vírgula"/>
    <tableColumn id="7" name="saldo novo" dataDxfId="45" dataCellStyle="Vírgula">
      <calculatedColumnFormula>Tabela7[[#This Row],[obs:]]+Tabela7[[#This Row],[soma final]]</calculatedColumnFormula>
    </tableColumn>
    <tableColumn id="8" name="Colunas1" dataDxfId="44" dataCellStyle="Vírgula">
      <calculatedColumnFormula>Tabela7[[#This Row],[saldo novo]]/Tabela7[[#This Row],[media]]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8" name="Tabela8" displayName="Tabela8" ref="A66:K78" totalsRowShown="0" tableBorderDxfId="43">
  <autoFilter ref="A66:K78"/>
  <sortState ref="A67:K78">
    <sortCondition ref="B66:B78"/>
  </sortState>
  <tableColumns count="11">
    <tableColumn id="1" name="CÓDIGO" dataDxfId="42"/>
    <tableColumn id="2" name="DESCRIÇÃO" dataDxfId="41"/>
    <tableColumn id="3" name="soma" dataDxfId="40"/>
    <tableColumn id="4" name="usou 13/02" dataDxfId="39"/>
    <tableColumn id="5" name="usou 2" dataDxfId="38"/>
    <tableColumn id="6" name="soma final" dataDxfId="37">
      <calculatedColumnFormula>Tabela8[[#This Row],[soma]]-Tabela8[[#This Row],[usou 13/02]]-Tabela8[[#This Row],[usou 2]]</calculatedColumnFormula>
    </tableColumn>
    <tableColumn id="7" name="media" dataDxfId="36"/>
    <tableColumn id="8" name="saldo de estoque em meses" dataDxfId="35" dataCellStyle="Vírgula">
      <calculatedColumnFormula>Tabela8[[#This Row],[soma final]]/(Tabela8[[#This Row],[media]])</calculatedColumnFormula>
    </tableColumn>
    <tableColumn id="9" name="obs:" dataDxfId="34" dataCellStyle="Vírgula"/>
    <tableColumn id="10" name="saldo novo" dataDxfId="33" dataCellStyle="Vírgula">
      <calculatedColumnFormula>Tabela8[[#This Row],[obs:]]+Tabela8[[#This Row],[soma final]]</calculatedColumnFormula>
    </tableColumn>
    <tableColumn id="11" name="Colunas1" dataDxfId="32" dataCellStyle="Vírgula">
      <calculatedColumnFormula>Tabela8[[#This Row],[saldo novo]]/Tabela8[[#This Row],[media]]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29:L36" totalsRowShown="0" headerRowDxfId="28" headerRowBorderDxfId="27" tableBorderDxfId="26" totalsRowBorderDxfId="25">
  <autoFilter ref="A29:L36"/>
  <sortState ref="A38:L44">
    <sortCondition ref="C37:C44"/>
  </sortState>
  <tableColumns count="12">
    <tableColumn id="1" name="Descrição cx 24" dataDxfId="24"/>
    <tableColumn id="2" name="Produzir" dataDxfId="23"/>
    <tableColumn id="3" name="data" dataDxfId="22"/>
    <tableColumn id="4" name="Colunas1" dataDxfId="21"/>
    <tableColumn id="5" name="Colunas2" dataDxfId="20"/>
    <tableColumn id="6" name="obs" dataDxfId="19"/>
    <tableColumn id="7" name="PRODUZIDO" dataDxfId="18" dataCellStyle="Vírgula"/>
    <tableColumn id="8" name="inicio" dataDxfId="17" dataCellStyle="Vírgula"/>
    <tableColumn id="9" name="fim" dataDxfId="16"/>
    <tableColumn id="10" name="Saldo em estoque cx24" dataDxfId="15" dataCellStyle="Vírgula"/>
    <tableColumn id="11" name="MÉDIA de venda" dataDxfId="14"/>
    <tableColumn id="12" name="Para atender 10 dias precisaríamos de:" dataDxfId="13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9" name="Tabela9" displayName="Tabela9" ref="A38:L48" totalsRowShown="0" tableBorderDxfId="12">
  <autoFilter ref="A38:L48"/>
  <sortState ref="A39:L47">
    <sortCondition ref="C38:C47"/>
  </sortState>
  <tableColumns count="12">
    <tableColumn id="1" name="Descrição" dataDxfId="11"/>
    <tableColumn id="2" name="Produzir" dataDxfId="10"/>
    <tableColumn id="3" name="data" dataDxfId="9"/>
    <tableColumn id="4" name="Colunas1" dataDxfId="8"/>
    <tableColumn id="5" name="Colunas2" dataDxfId="7"/>
    <tableColumn id="6" name="obs" dataDxfId="6"/>
    <tableColumn id="7" name="PRODUZIDO" dataDxfId="5" dataCellStyle="Vírgula"/>
    <tableColumn id="8" name="Colunas3" dataDxfId="4" dataCellStyle="Vírgula"/>
    <tableColumn id="9" name="Colunas4" dataDxfId="3"/>
    <tableColumn id="10" name="Saldo em estoque cx24" dataDxfId="2" dataCellStyle="Vírgula"/>
    <tableColumn id="11" name="MÉDIA de venda" dataDxfId="1"/>
    <tableColumn id="12" name="Para atender 10 dias precisaríamos de: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Z73"/>
  <sheetViews>
    <sheetView showGridLines="0" tabSelected="1" zoomScale="92" zoomScaleNormal="92" workbookViewId="0">
      <pane ySplit="2" topLeftCell="A3" activePane="bottomLeft" state="frozen"/>
      <selection pane="bottomLeft" activeCell="J2" sqref="J2"/>
    </sheetView>
  </sheetViews>
  <sheetFormatPr defaultRowHeight="32.25" customHeight="1" x14ac:dyDescent="0.25"/>
  <cols>
    <col min="1" max="1" width="8.7109375" style="6" customWidth="1"/>
    <col min="2" max="2" width="33.85546875" style="265" customWidth="1"/>
    <col min="3" max="3" width="26.7109375" style="252" bestFit="1" customWidth="1"/>
    <col min="4" max="4" width="8.42578125" style="253" customWidth="1"/>
    <col min="5" max="5" width="8.42578125" style="252" customWidth="1"/>
    <col min="6" max="6" width="9.85546875" style="262" customWidth="1"/>
    <col min="7" max="7" width="11.140625" style="250" customWidth="1"/>
    <col min="9" max="9" width="9.140625" style="252" customWidth="1"/>
    <col min="10" max="10" width="11.140625" style="256" customWidth="1"/>
    <col min="11" max="11" width="9.28515625" style="255" customWidth="1"/>
    <col min="12" max="12" width="15.5703125" style="256" bestFit="1" customWidth="1"/>
    <col min="13" max="13" width="14.42578125" style="254" customWidth="1"/>
    <col min="14" max="14" width="9.85546875" style="256" customWidth="1"/>
    <col min="15" max="15" width="11.42578125" style="257" customWidth="1"/>
    <col min="16" max="16" width="12.42578125" style="258" bestFit="1" customWidth="1"/>
    <col min="17" max="17" width="12" style="256" customWidth="1"/>
    <col min="18" max="18" width="11.7109375" style="256" customWidth="1"/>
    <col min="19" max="19" width="9.42578125" style="260" customWidth="1"/>
    <col min="20" max="20" width="9.85546875" style="256" customWidth="1"/>
    <col min="21" max="21" width="9" style="277" customWidth="1"/>
    <col min="22" max="22" width="9" style="256" customWidth="1"/>
    <col min="23" max="23" width="9.28515625" style="261" customWidth="1"/>
    <col min="24" max="24" width="5.7109375" style="256" customWidth="1"/>
    <col min="25" max="25" width="10" style="261" customWidth="1"/>
    <col min="26" max="26" width="10.42578125" style="294" customWidth="1"/>
    <col min="27" max="27" width="5.7109375" style="250" customWidth="1"/>
    <col min="28" max="16384" width="9.140625" style="250"/>
  </cols>
  <sheetData>
    <row r="1" spans="1:26" ht="15" customHeight="1" thickBot="1" x14ac:dyDescent="0.3">
      <c r="A1" s="251"/>
      <c r="F1" s="305" t="e">
        <f>#REF!</f>
        <v>#REF!</v>
      </c>
      <c r="H1" s="306"/>
      <c r="I1" s="256"/>
      <c r="J1" s="255"/>
      <c r="K1" s="256"/>
      <c r="L1" s="254"/>
      <c r="M1" s="256"/>
      <c r="N1" s="257"/>
      <c r="O1" s="258"/>
      <c r="P1" s="256"/>
      <c r="Q1" s="259"/>
      <c r="R1" s="260"/>
      <c r="S1" s="256"/>
      <c r="T1" s="277"/>
      <c r="U1" s="256"/>
      <c r="V1" s="261"/>
      <c r="W1" s="250"/>
      <c r="X1" s="250"/>
      <c r="Y1" s="294"/>
      <c r="Z1" s="250"/>
    </row>
    <row r="2" spans="1:26" s="321" customFormat="1" ht="60" customHeight="1" x14ac:dyDescent="0.25">
      <c r="A2" s="319" t="s">
        <v>410</v>
      </c>
      <c r="B2" s="307" t="s">
        <v>1</v>
      </c>
      <c r="C2" s="312" t="s">
        <v>411</v>
      </c>
      <c r="D2" s="319" t="s">
        <v>81</v>
      </c>
      <c r="E2" s="312" t="s">
        <v>412</v>
      </c>
      <c r="F2" s="312" t="s">
        <v>364</v>
      </c>
      <c r="G2" s="308" t="s">
        <v>409</v>
      </c>
      <c r="H2" s="309" t="s">
        <v>408</v>
      </c>
      <c r="I2" s="313" t="s">
        <v>413</v>
      </c>
      <c r="J2" s="310" t="s">
        <v>414</v>
      </c>
      <c r="K2" s="311" t="s">
        <v>415</v>
      </c>
      <c r="L2" s="312" t="s">
        <v>416</v>
      </c>
      <c r="M2" s="313" t="s">
        <v>270</v>
      </c>
      <c r="N2" s="314" t="s">
        <v>417</v>
      </c>
      <c r="O2" s="315" t="s">
        <v>418</v>
      </c>
      <c r="P2" s="316" t="s">
        <v>419</v>
      </c>
      <c r="Q2" s="317" t="s">
        <v>420</v>
      </c>
      <c r="R2" s="311" t="s">
        <v>390</v>
      </c>
      <c r="S2" s="313" t="s">
        <v>421</v>
      </c>
      <c r="T2" s="318" t="s">
        <v>422</v>
      </c>
      <c r="U2" s="311" t="s">
        <v>423</v>
      </c>
      <c r="V2" s="319" t="s">
        <v>424</v>
      </c>
      <c r="W2" s="320" t="s">
        <v>198</v>
      </c>
      <c r="X2" s="312" t="s">
        <v>309</v>
      </c>
      <c r="Y2" s="322" t="s">
        <v>394</v>
      </c>
    </row>
    <row r="3" spans="1:26" ht="32.25" customHeight="1" x14ac:dyDescent="0.25">
      <c r="A3" s="6">
        <v>5343</v>
      </c>
      <c r="B3" s="276" t="s">
        <v>402</v>
      </c>
      <c r="C3" s="282" t="s">
        <v>56</v>
      </c>
      <c r="D3" s="272">
        <v>90</v>
      </c>
      <c r="E3" s="282" t="s">
        <v>58</v>
      </c>
      <c r="F3" s="293">
        <v>24</v>
      </c>
      <c r="G3" s="297">
        <v>50409.166666666664</v>
      </c>
      <c r="H3" s="297"/>
      <c r="I3" s="98"/>
      <c r="J3" s="99"/>
      <c r="K3" s="98"/>
      <c r="L3" s="98"/>
      <c r="M3" s="98"/>
      <c r="N3" s="101"/>
      <c r="O3" s="102"/>
      <c r="P3" s="98" t="s">
        <v>195</v>
      </c>
      <c r="Q3" s="236"/>
      <c r="R3" s="103">
        <f>Tabela1[[#This Row],[Produzir]]/Tabela1[[#This Row],[CX]]</f>
        <v>0</v>
      </c>
      <c r="S3" s="100" t="str">
        <f>IFERROR(IF((Tabela1[[#This Row],[Produzir]])&gt;0,PRODUCT((Tabela1[[#This Row],[Produzir]])*Tabela1[[#This Row],[Volume]]),""),"")</f>
        <v/>
      </c>
      <c r="T3" s="278"/>
      <c r="U3" s="98"/>
      <c r="V3" s="102"/>
      <c r="W3" s="235">
        <v>2</v>
      </c>
      <c r="X3" s="98" t="s">
        <v>392</v>
      </c>
      <c r="Y3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25204.583333333332</v>
      </c>
      <c r="Z3" s="250"/>
    </row>
    <row r="4" spans="1:26" ht="32.25" customHeight="1" x14ac:dyDescent="0.25">
      <c r="A4" s="6">
        <v>5344</v>
      </c>
      <c r="B4" s="276" t="s">
        <v>396</v>
      </c>
      <c r="C4" s="92" t="s">
        <v>56</v>
      </c>
      <c r="D4" s="272">
        <v>90</v>
      </c>
      <c r="E4" s="92" t="s">
        <v>59</v>
      </c>
      <c r="F4" s="293">
        <v>24</v>
      </c>
      <c r="G4" s="297">
        <v>134736</v>
      </c>
      <c r="H4" s="297"/>
      <c r="I4" s="98"/>
      <c r="J4" s="99"/>
      <c r="K4" s="98"/>
      <c r="L4" s="98"/>
      <c r="M4" s="98"/>
      <c r="N4" s="101"/>
      <c r="O4" s="102"/>
      <c r="P4" s="98" t="s">
        <v>195</v>
      </c>
      <c r="Q4" s="236"/>
      <c r="R4" s="103">
        <f>Tabela1[[#This Row],[Produzir]]/Tabela1[[#This Row],[CX]]</f>
        <v>0</v>
      </c>
      <c r="S4" s="100" t="str">
        <f>IFERROR(IF((Tabela1[[#This Row],[Produzir]])&gt;0,PRODUCT((Tabela1[[#This Row],[Produzir]])*Tabela1[[#This Row],[Volume]]),""),"")</f>
        <v/>
      </c>
      <c r="T4" s="278"/>
      <c r="U4" s="98"/>
      <c r="V4" s="102"/>
      <c r="W4" s="235">
        <v>3</v>
      </c>
      <c r="X4" s="98" t="s">
        <v>391</v>
      </c>
      <c r="Y4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44912</v>
      </c>
      <c r="Z4" s="250"/>
    </row>
    <row r="5" spans="1:26" ht="32.25" customHeight="1" x14ac:dyDescent="0.25">
      <c r="A5" s="6">
        <v>5345</v>
      </c>
      <c r="B5" s="276" t="s">
        <v>397</v>
      </c>
      <c r="C5" s="92" t="s">
        <v>56</v>
      </c>
      <c r="D5" s="272">
        <v>90</v>
      </c>
      <c r="E5" s="92" t="s">
        <v>60</v>
      </c>
      <c r="F5" s="293">
        <v>24</v>
      </c>
      <c r="G5" s="297">
        <v>169595.25</v>
      </c>
      <c r="H5" s="297"/>
      <c r="I5" s="98"/>
      <c r="J5" s="99"/>
      <c r="K5" s="98"/>
      <c r="L5" s="98"/>
      <c r="M5" s="98"/>
      <c r="N5" s="101"/>
      <c r="O5" s="102"/>
      <c r="P5" s="98" t="s">
        <v>195</v>
      </c>
      <c r="Q5" s="236"/>
      <c r="R5" s="103">
        <f>Tabela1[[#This Row],[Produzir]]/Tabela1[[#This Row],[CX]]</f>
        <v>0</v>
      </c>
      <c r="S5" s="100" t="str">
        <f>IFERROR(IF((Tabela1[[#This Row],[Produzir]])&gt;0,PRODUCT((Tabela1[[#This Row],[Produzir]])*Tabela1[[#This Row],[Volume]]),""),"")</f>
        <v/>
      </c>
      <c r="T5" s="278"/>
      <c r="U5" s="98"/>
      <c r="V5" s="102"/>
      <c r="W5" s="235">
        <v>4</v>
      </c>
      <c r="X5" s="98" t="s">
        <v>391</v>
      </c>
      <c r="Y5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56531.75</v>
      </c>
      <c r="Z5" s="250"/>
    </row>
    <row r="6" spans="1:26" ht="32.25" customHeight="1" x14ac:dyDescent="0.25">
      <c r="A6" s="6">
        <v>5346</v>
      </c>
      <c r="B6" s="276" t="s">
        <v>395</v>
      </c>
      <c r="C6" s="92" t="s">
        <v>56</v>
      </c>
      <c r="D6" s="272">
        <v>90</v>
      </c>
      <c r="E6" s="92" t="s">
        <v>61</v>
      </c>
      <c r="F6" s="293">
        <v>24</v>
      </c>
      <c r="G6" s="297">
        <v>290542</v>
      </c>
      <c r="H6" s="297"/>
      <c r="I6" s="98"/>
      <c r="J6" s="99"/>
      <c r="K6" s="98"/>
      <c r="L6" s="98"/>
      <c r="M6" s="98"/>
      <c r="N6" s="101"/>
      <c r="O6" s="102"/>
      <c r="P6" s="98" t="s">
        <v>195</v>
      </c>
      <c r="Q6" s="236"/>
      <c r="R6" s="103">
        <f>Tabela1[[#This Row],[Produzir]]/Tabela1[[#This Row],[CX]]</f>
        <v>0</v>
      </c>
      <c r="S6" s="100" t="str">
        <f>IFERROR(IF((Tabela1[[#This Row],[Produzir]])&gt;0,PRODUCT((Tabela1[[#This Row],[Produzir]])*Tabela1[[#This Row],[Volume]]),""),"")</f>
        <v/>
      </c>
      <c r="T6" s="278"/>
      <c r="U6" s="98"/>
      <c r="V6" s="102"/>
      <c r="W6" s="235">
        <v>5</v>
      </c>
      <c r="X6" s="98" t="s">
        <v>391</v>
      </c>
      <c r="Y6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96847.333333333328</v>
      </c>
      <c r="Z6" s="250"/>
    </row>
    <row r="7" spans="1:26" ht="32.25" customHeight="1" x14ac:dyDescent="0.25">
      <c r="A7" s="6">
        <v>5274</v>
      </c>
      <c r="B7" s="276" t="s">
        <v>404</v>
      </c>
      <c r="C7" s="282" t="s">
        <v>56</v>
      </c>
      <c r="D7" s="275">
        <v>450</v>
      </c>
      <c r="E7" s="282" t="s">
        <v>58</v>
      </c>
      <c r="F7" s="293">
        <v>12</v>
      </c>
      <c r="G7" s="297">
        <v>3973.5</v>
      </c>
      <c r="H7" s="297"/>
      <c r="I7" s="98"/>
      <c r="J7" s="99"/>
      <c r="K7" s="98"/>
      <c r="L7" s="98"/>
      <c r="M7" s="98"/>
      <c r="N7" s="101"/>
      <c r="O7" s="102"/>
      <c r="P7" s="98" t="s">
        <v>361</v>
      </c>
      <c r="Q7" s="236"/>
      <c r="R7" s="103">
        <f>Tabela1[[#This Row],[Produzir]]/Tabela1[[#This Row],[CX]]</f>
        <v>0</v>
      </c>
      <c r="S7" s="100" t="str">
        <f>IFERROR(IF((Tabela1[[#This Row],[Produzir]])&gt;0,PRODUCT((Tabela1[[#This Row],[Produzir]])*Tabela1[[#This Row],[Volume]]),""),"")</f>
        <v/>
      </c>
      <c r="T7" s="278"/>
      <c r="U7" s="98"/>
      <c r="V7" s="102"/>
      <c r="W7" s="235">
        <v>10</v>
      </c>
      <c r="X7" s="98" t="s">
        <v>393</v>
      </c>
      <c r="Y7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3973.5</v>
      </c>
      <c r="Z7" s="250"/>
    </row>
    <row r="8" spans="1:26" ht="32.25" customHeight="1" x14ac:dyDescent="0.25">
      <c r="A8" s="6">
        <v>5277</v>
      </c>
      <c r="B8" s="276" t="s">
        <v>405</v>
      </c>
      <c r="C8" s="282" t="s">
        <v>56</v>
      </c>
      <c r="D8" s="275">
        <v>450</v>
      </c>
      <c r="E8" s="282" t="s">
        <v>59</v>
      </c>
      <c r="F8" s="293">
        <v>12</v>
      </c>
      <c r="G8" s="297">
        <v>8726</v>
      </c>
      <c r="H8" s="297"/>
      <c r="I8" s="98"/>
      <c r="J8" s="99"/>
      <c r="K8" s="98"/>
      <c r="L8" s="98"/>
      <c r="M8" s="98"/>
      <c r="N8" s="101"/>
      <c r="O8" s="102"/>
      <c r="P8" s="98" t="s">
        <v>361</v>
      </c>
      <c r="Q8" s="236"/>
      <c r="R8" s="103">
        <f>Tabela1[[#This Row],[Produzir]]/Tabela1[[#This Row],[CX]]</f>
        <v>0</v>
      </c>
      <c r="S8" s="100" t="str">
        <f>IFERROR(IF((Tabela1[[#This Row],[Produzir]])&gt;0,PRODUCT((Tabela1[[#This Row],[Produzir]])*Tabela1[[#This Row],[Volume]]),""),"")</f>
        <v/>
      </c>
      <c r="T8" s="278"/>
      <c r="U8" s="98"/>
      <c r="V8" s="102"/>
      <c r="W8" s="235">
        <v>11</v>
      </c>
      <c r="X8" s="98" t="s">
        <v>393</v>
      </c>
      <c r="Y8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8726</v>
      </c>
      <c r="Z8" s="250"/>
    </row>
    <row r="9" spans="1:26" ht="32.25" customHeight="1" x14ac:dyDescent="0.25">
      <c r="A9" s="6">
        <v>5280</v>
      </c>
      <c r="B9" s="276" t="s">
        <v>401</v>
      </c>
      <c r="C9" s="92" t="s">
        <v>56</v>
      </c>
      <c r="D9" s="275">
        <v>450</v>
      </c>
      <c r="E9" s="92" t="s">
        <v>60</v>
      </c>
      <c r="F9" s="293">
        <v>12</v>
      </c>
      <c r="G9" s="297">
        <v>12572</v>
      </c>
      <c r="H9" s="297"/>
      <c r="I9" s="98"/>
      <c r="J9" s="99"/>
      <c r="K9" s="98"/>
      <c r="L9" s="98"/>
      <c r="M9" s="98"/>
      <c r="N9" s="101"/>
      <c r="O9" s="102"/>
      <c r="P9" s="98" t="s">
        <v>361</v>
      </c>
      <c r="Q9" s="236"/>
      <c r="R9" s="103">
        <f>Tabela1[[#This Row],[Produzir]]/Tabela1[[#This Row],[CX]]</f>
        <v>0</v>
      </c>
      <c r="S9" s="100" t="str">
        <f>IFERROR(IF((Tabela1[[#This Row],[Produzir]])&gt;0,PRODUCT((Tabela1[[#This Row],[Produzir]])*Tabela1[[#This Row],[Volume]]),""),"")</f>
        <v/>
      </c>
      <c r="T9" s="278"/>
      <c r="U9" s="98"/>
      <c r="V9" s="102"/>
      <c r="W9" s="235">
        <v>12</v>
      </c>
      <c r="X9" s="98" t="s">
        <v>393</v>
      </c>
      <c r="Y9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12572</v>
      </c>
      <c r="Z9" s="250"/>
    </row>
    <row r="10" spans="1:26" ht="32.25" customHeight="1" x14ac:dyDescent="0.25">
      <c r="A10" s="6">
        <v>5283</v>
      </c>
      <c r="B10" s="276" t="s">
        <v>398</v>
      </c>
      <c r="C10" s="282" t="s">
        <v>56</v>
      </c>
      <c r="D10" s="275">
        <v>450</v>
      </c>
      <c r="E10" s="282" t="s">
        <v>61</v>
      </c>
      <c r="F10" s="293">
        <v>12</v>
      </c>
      <c r="G10" s="297">
        <v>20127</v>
      </c>
      <c r="H10" s="297"/>
      <c r="I10" s="98"/>
      <c r="J10" s="99"/>
      <c r="K10" s="98"/>
      <c r="L10" s="98"/>
      <c r="M10" s="98"/>
      <c r="N10" s="101"/>
      <c r="O10" s="102"/>
      <c r="P10" s="98" t="s">
        <v>361</v>
      </c>
      <c r="Q10" s="236"/>
      <c r="R10" s="103">
        <f>Tabela1[[#This Row],[Produzir]]/Tabela1[[#This Row],[CX]]</f>
        <v>0</v>
      </c>
      <c r="S10" s="100" t="str">
        <f>IFERROR(IF((Tabela1[[#This Row],[Produzir]])&gt;0,PRODUCT((Tabela1[[#This Row],[Produzir]])*Tabela1[[#This Row],[Volume]]),""),"")</f>
        <v/>
      </c>
      <c r="T10" s="278"/>
      <c r="U10" s="98"/>
      <c r="V10" s="102"/>
      <c r="W10" s="235">
        <v>13</v>
      </c>
      <c r="X10" s="98" t="s">
        <v>392</v>
      </c>
      <c r="Y10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10063.5</v>
      </c>
      <c r="Z10" s="250"/>
    </row>
    <row r="11" spans="1:26" ht="32.25" customHeight="1" x14ac:dyDescent="0.25">
      <c r="A11" s="6">
        <v>5275</v>
      </c>
      <c r="B11" s="276" t="s">
        <v>406</v>
      </c>
      <c r="C11" s="282" t="s">
        <v>56</v>
      </c>
      <c r="D11" s="275">
        <v>900</v>
      </c>
      <c r="E11" s="282" t="s">
        <v>58</v>
      </c>
      <c r="F11" s="293">
        <v>6</v>
      </c>
      <c r="G11" s="297">
        <v>4294</v>
      </c>
      <c r="H11" s="297"/>
      <c r="I11" s="98"/>
      <c r="J11" s="99"/>
      <c r="K11" s="98"/>
      <c r="L11" s="98"/>
      <c r="M11" s="98"/>
      <c r="N11" s="101"/>
      <c r="O11" s="102"/>
      <c r="P11" s="98" t="s">
        <v>82</v>
      </c>
      <c r="Q11" s="236"/>
      <c r="R11" s="103">
        <f>Tabela1[[#This Row],[Produzir]]/Tabela1[[#This Row],[CX]]</f>
        <v>0</v>
      </c>
      <c r="S11" s="100" t="str">
        <f>IFERROR(IF((Tabela1[[#This Row],[Produzir]])&gt;0,PRODUCT((Tabela1[[#This Row],[Produzir]])*Tabela1[[#This Row],[Volume]]),""),"")</f>
        <v/>
      </c>
      <c r="T11" s="278"/>
      <c r="U11" s="98"/>
      <c r="V11" s="102"/>
      <c r="W11" s="235">
        <v>18</v>
      </c>
      <c r="X11" s="98" t="s">
        <v>393</v>
      </c>
      <c r="Y11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4294</v>
      </c>
      <c r="Z11" s="250"/>
    </row>
    <row r="12" spans="1:26" ht="32.25" customHeight="1" x14ac:dyDescent="0.25">
      <c r="A12" s="6">
        <v>5278</v>
      </c>
      <c r="B12" s="276" t="s">
        <v>400</v>
      </c>
      <c r="C12" s="282" t="s">
        <v>56</v>
      </c>
      <c r="D12" s="275">
        <v>900</v>
      </c>
      <c r="E12" s="282" t="s">
        <v>59</v>
      </c>
      <c r="F12" s="293">
        <v>6</v>
      </c>
      <c r="G12" s="297">
        <v>12153</v>
      </c>
      <c r="H12" s="297"/>
      <c r="I12" s="98"/>
      <c r="J12" s="99"/>
      <c r="K12" s="98"/>
      <c r="L12" s="98"/>
      <c r="M12" s="98"/>
      <c r="N12" s="101"/>
      <c r="O12" s="102"/>
      <c r="P12" s="98" t="s">
        <v>82</v>
      </c>
      <c r="Q12" s="236"/>
      <c r="R12" s="103">
        <f>Tabela1[[#This Row],[Produzir]]/Tabela1[[#This Row],[CX]]</f>
        <v>0</v>
      </c>
      <c r="S12" s="100" t="str">
        <f>IFERROR(IF((Tabela1[[#This Row],[Produzir]])&gt;0,PRODUCT((Tabela1[[#This Row],[Produzir]])*Tabela1[[#This Row],[Volume]]),""),"")</f>
        <v/>
      </c>
      <c r="T12" s="278"/>
      <c r="U12" s="98"/>
      <c r="V12" s="102"/>
      <c r="W12" s="235">
        <v>19</v>
      </c>
      <c r="X12" s="98" t="s">
        <v>393</v>
      </c>
      <c r="Y12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12153</v>
      </c>
      <c r="Z12" s="250"/>
    </row>
    <row r="13" spans="1:26" ht="32.25" customHeight="1" x14ac:dyDescent="0.25">
      <c r="A13" s="6">
        <v>5281</v>
      </c>
      <c r="B13" s="276" t="s">
        <v>403</v>
      </c>
      <c r="C13" s="92" t="s">
        <v>56</v>
      </c>
      <c r="D13" s="275">
        <v>900</v>
      </c>
      <c r="E13" s="92" t="s">
        <v>60</v>
      </c>
      <c r="F13" s="293">
        <v>6</v>
      </c>
      <c r="G13" s="297">
        <v>12402</v>
      </c>
      <c r="H13" s="297"/>
      <c r="I13" s="98"/>
      <c r="J13" s="99"/>
      <c r="K13" s="98"/>
      <c r="L13" s="98"/>
      <c r="M13" s="98"/>
      <c r="N13" s="101"/>
      <c r="O13" s="102"/>
      <c r="P13" s="98" t="s">
        <v>82</v>
      </c>
      <c r="Q13" s="236"/>
      <c r="R13" s="103">
        <f>Tabela1[[#This Row],[Produzir]]/Tabela1[[#This Row],[CX]]</f>
        <v>0</v>
      </c>
      <c r="S13" s="100" t="str">
        <f>IFERROR(IF((Tabela1[[#This Row],[Produzir]])&gt;0,PRODUCT((Tabela1[[#This Row],[Produzir]])*Tabela1[[#This Row],[Volume]]),""),"")</f>
        <v/>
      </c>
      <c r="T13" s="278"/>
      <c r="U13" s="98"/>
      <c r="V13" s="102"/>
      <c r="W13" s="235">
        <v>20</v>
      </c>
      <c r="X13" s="98" t="s">
        <v>393</v>
      </c>
      <c r="Y13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12402</v>
      </c>
      <c r="Z13" s="250"/>
    </row>
    <row r="14" spans="1:26" ht="32.25" customHeight="1" x14ac:dyDescent="0.25">
      <c r="A14" s="6">
        <v>5284</v>
      </c>
      <c r="B14" s="276" t="s">
        <v>399</v>
      </c>
      <c r="C14" s="92" t="s">
        <v>56</v>
      </c>
      <c r="D14" s="275">
        <v>900</v>
      </c>
      <c r="E14" s="92" t="s">
        <v>61</v>
      </c>
      <c r="F14" s="293">
        <v>6</v>
      </c>
      <c r="G14" s="297">
        <v>21326</v>
      </c>
      <c r="H14" s="297"/>
      <c r="I14" s="98"/>
      <c r="J14" s="99"/>
      <c r="K14" s="98"/>
      <c r="L14" s="98"/>
      <c r="M14" s="98"/>
      <c r="N14" s="101"/>
      <c r="O14" s="102"/>
      <c r="P14" s="98" t="s">
        <v>82</v>
      </c>
      <c r="Q14" s="236"/>
      <c r="R14" s="103">
        <f>Tabela1[[#This Row],[Produzir]]/Tabela1[[#This Row],[CX]]</f>
        <v>0</v>
      </c>
      <c r="S14" s="100" t="str">
        <f>IFERROR(IF((Tabela1[[#This Row],[Produzir]])&gt;0,PRODUCT((Tabela1[[#This Row],[Produzir]])*Tabela1[[#This Row],[Volume]]),""),"")</f>
        <v/>
      </c>
      <c r="T14" s="278"/>
      <c r="U14" s="98"/>
      <c r="V14" s="102"/>
      <c r="W14" s="235">
        <v>21</v>
      </c>
      <c r="X14" s="98" t="s">
        <v>392</v>
      </c>
      <c r="Y14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10663</v>
      </c>
      <c r="Z14" s="250"/>
    </row>
    <row r="15" spans="1:26" ht="32.25" customHeight="1" x14ac:dyDescent="0.25">
      <c r="A15" s="6">
        <v>5640</v>
      </c>
      <c r="B15" s="247" t="s">
        <v>357</v>
      </c>
      <c r="C15" s="273" t="s">
        <v>360</v>
      </c>
      <c r="D15" s="7">
        <v>4000</v>
      </c>
      <c r="E15" s="273" t="s">
        <v>59</v>
      </c>
      <c r="F15" s="274">
        <v>4</v>
      </c>
      <c r="G15" s="297">
        <v>387.33333333333331</v>
      </c>
      <c r="H15" s="297"/>
      <c r="I15" s="98"/>
      <c r="J15" s="99"/>
      <c r="K15" s="98"/>
      <c r="L15" s="98"/>
      <c r="M15" s="98"/>
      <c r="N15" s="101"/>
      <c r="O15" s="102"/>
      <c r="P15" s="98" t="s">
        <v>355</v>
      </c>
      <c r="Q15" s="236"/>
      <c r="R15" s="103">
        <f>Tabela1[[#This Row],[Produzir]]/Tabela1[[#This Row],[CX]]</f>
        <v>0</v>
      </c>
      <c r="S15" s="100" t="str">
        <f>IFERROR(IF((Tabela1[[#This Row],[Produzir]])&gt;0,PRODUCT((Tabela1[[#This Row],[Produzir]])*Tabela1[[#This Row],[Volume]]),""),"")</f>
        <v/>
      </c>
      <c r="T15" s="278"/>
      <c r="U15" s="98"/>
      <c r="V15" s="102"/>
      <c r="W15" s="235">
        <v>26</v>
      </c>
      <c r="X15" s="98" t="s">
        <v>393</v>
      </c>
      <c r="Y15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387.33333333333331</v>
      </c>
      <c r="Z15" s="250"/>
    </row>
    <row r="16" spans="1:26" ht="32.25" customHeight="1" x14ac:dyDescent="0.25">
      <c r="A16" s="6">
        <v>5641</v>
      </c>
      <c r="B16" s="247" t="s">
        <v>358</v>
      </c>
      <c r="C16" s="273" t="s">
        <v>360</v>
      </c>
      <c r="D16" s="7">
        <v>4000</v>
      </c>
      <c r="E16" s="273" t="s">
        <v>60</v>
      </c>
      <c r="F16" s="274">
        <v>4</v>
      </c>
      <c r="G16" s="297">
        <v>459.66666666666669</v>
      </c>
      <c r="H16" s="297"/>
      <c r="I16" s="98"/>
      <c r="J16" s="99"/>
      <c r="K16" s="98"/>
      <c r="L16" s="98"/>
      <c r="M16" s="98"/>
      <c r="N16" s="101"/>
      <c r="O16" s="102"/>
      <c r="P16" s="98" t="s">
        <v>355</v>
      </c>
      <c r="Q16" s="236"/>
      <c r="R16" s="103">
        <f>Tabela1[[#This Row],[Produzir]]/Tabela1[[#This Row],[CX]]</f>
        <v>0</v>
      </c>
      <c r="S16" s="100" t="str">
        <f>IFERROR(IF((Tabela1[[#This Row],[Produzir]])&gt;0,PRODUCT((Tabela1[[#This Row],[Produzir]])*Tabela1[[#This Row],[Volume]]),""),"")</f>
        <v/>
      </c>
      <c r="T16" s="278"/>
      <c r="U16" s="98"/>
      <c r="V16" s="102"/>
      <c r="W16" s="235">
        <v>27</v>
      </c>
      <c r="X16" s="98" t="s">
        <v>393</v>
      </c>
      <c r="Y16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459.66666666666669</v>
      </c>
      <c r="Z16" s="250"/>
    </row>
    <row r="17" spans="1:26" ht="32.25" customHeight="1" x14ac:dyDescent="0.25">
      <c r="A17" s="6">
        <v>5642</v>
      </c>
      <c r="B17" s="247" t="s">
        <v>359</v>
      </c>
      <c r="C17" s="273" t="s">
        <v>360</v>
      </c>
      <c r="D17" s="7">
        <v>4000</v>
      </c>
      <c r="E17" s="273" t="s">
        <v>61</v>
      </c>
      <c r="F17" s="274">
        <v>4</v>
      </c>
      <c r="G17" s="297">
        <v>1343.3333333333333</v>
      </c>
      <c r="H17" s="297"/>
      <c r="I17" s="98"/>
      <c r="J17" s="99"/>
      <c r="K17" s="98"/>
      <c r="L17" s="98"/>
      <c r="M17" s="98"/>
      <c r="N17" s="101"/>
      <c r="O17" s="102"/>
      <c r="P17" s="98" t="s">
        <v>355</v>
      </c>
      <c r="Q17" s="236"/>
      <c r="R17" s="103">
        <f>Tabela1[[#This Row],[Produzir]]/Tabela1[[#This Row],[CX]]</f>
        <v>0</v>
      </c>
      <c r="S17" s="100" t="str">
        <f>IFERROR(IF((Tabela1[[#This Row],[Produzir]])&gt;0,PRODUCT((Tabela1[[#This Row],[Produzir]])*Tabela1[[#This Row],[Volume]]),""),"")</f>
        <v/>
      </c>
      <c r="T17" s="278"/>
      <c r="U17" s="98"/>
      <c r="V17" s="102"/>
      <c r="W17" s="235">
        <v>28</v>
      </c>
      <c r="X17" s="98" t="s">
        <v>393</v>
      </c>
      <c r="Y17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1343.3333333333333</v>
      </c>
      <c r="Z17" s="250"/>
    </row>
    <row r="18" spans="1:26" ht="32.25" customHeight="1" x14ac:dyDescent="0.25">
      <c r="A18" s="6">
        <v>5270</v>
      </c>
      <c r="B18" s="270" t="s">
        <v>26</v>
      </c>
      <c r="C18" s="91" t="s">
        <v>57</v>
      </c>
      <c r="D18" s="263">
        <v>90</v>
      </c>
      <c r="E18" s="91" t="s">
        <v>64</v>
      </c>
      <c r="F18" s="293">
        <v>24</v>
      </c>
      <c r="G18" s="297">
        <v>518159.41666666669</v>
      </c>
      <c r="H18" s="297"/>
      <c r="I18" s="98"/>
      <c r="J18" s="99"/>
      <c r="K18" s="98"/>
      <c r="L18" s="98"/>
      <c r="M18" s="98"/>
      <c r="N18" s="101"/>
      <c r="O18" s="102"/>
      <c r="P18" s="98" t="s">
        <v>196</v>
      </c>
      <c r="Q18" s="236"/>
      <c r="R18" s="103">
        <f>Tabela1[[#This Row],[Produzir]]/Tabela1[[#This Row],[CX]]</f>
        <v>0</v>
      </c>
      <c r="S18" s="100" t="str">
        <f>IFERROR(IF((Tabela1[[#This Row],[Produzir]])&gt;0,PRODUCT((Tabela1[[#This Row],[Produzir]])*Tabela1[[#This Row],[Volume]]),""),"")</f>
        <v/>
      </c>
      <c r="T18" s="278"/>
      <c r="U18" s="98"/>
      <c r="V18" s="102"/>
      <c r="W18" s="235">
        <v>29</v>
      </c>
      <c r="X18" s="98" t="s">
        <v>391</v>
      </c>
      <c r="Y18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172719.80555555556</v>
      </c>
      <c r="Z18" s="250"/>
    </row>
    <row r="19" spans="1:26" ht="32.25" customHeight="1" x14ac:dyDescent="0.25">
      <c r="A19" s="6">
        <v>5297</v>
      </c>
      <c r="B19" s="270" t="s">
        <v>30</v>
      </c>
      <c r="C19" s="91" t="s">
        <v>57</v>
      </c>
      <c r="D19" s="272">
        <v>90</v>
      </c>
      <c r="E19" s="91" t="s">
        <v>66</v>
      </c>
      <c r="F19" s="293">
        <v>24</v>
      </c>
      <c r="G19" s="297">
        <v>175011</v>
      </c>
      <c r="H19" s="297"/>
      <c r="I19" s="98"/>
      <c r="J19" s="99"/>
      <c r="K19" s="98"/>
      <c r="L19" s="98"/>
      <c r="M19" s="323"/>
      <c r="N19" s="324"/>
      <c r="O19" s="102"/>
      <c r="P19" s="98" t="s">
        <v>196</v>
      </c>
      <c r="Q19" s="236"/>
      <c r="R19" s="103">
        <f>Tabela1[[#This Row],[Produzir]]/Tabela1[[#This Row],[CX]]</f>
        <v>0</v>
      </c>
      <c r="S19" s="100" t="str">
        <f>IFERROR(IF((Tabela1[[#This Row],[Produzir]])&gt;0,PRODUCT((Tabela1[[#This Row],[Produzir]])*Tabela1[[#This Row],[Volume]]),""),"")</f>
        <v/>
      </c>
      <c r="T19" s="278"/>
      <c r="U19" s="98"/>
      <c r="V19" s="102"/>
      <c r="W19" s="235">
        <v>30</v>
      </c>
      <c r="X19" s="98" t="s">
        <v>391</v>
      </c>
      <c r="Y19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58337</v>
      </c>
      <c r="Z19" s="250"/>
    </row>
    <row r="20" spans="1:26" ht="32.25" customHeight="1" x14ac:dyDescent="0.25">
      <c r="A20" s="6">
        <v>5583</v>
      </c>
      <c r="B20" s="270" t="s">
        <v>27</v>
      </c>
      <c r="C20" s="273" t="s">
        <v>57</v>
      </c>
      <c r="D20" s="272">
        <v>90</v>
      </c>
      <c r="E20" s="273" t="s">
        <v>62</v>
      </c>
      <c r="F20" s="293">
        <v>24</v>
      </c>
      <c r="G20" s="297">
        <v>82342</v>
      </c>
      <c r="H20" s="297"/>
      <c r="I20" s="98"/>
      <c r="J20" s="99"/>
      <c r="K20" s="98"/>
      <c r="L20" s="98"/>
      <c r="M20" s="98"/>
      <c r="N20" s="101"/>
      <c r="O20" s="102"/>
      <c r="P20" s="98" t="s">
        <v>196</v>
      </c>
      <c r="Q20" s="236"/>
      <c r="R20" s="103">
        <f>Tabela1[[#This Row],[Produzir]]/Tabela1[[#This Row],[CX]]</f>
        <v>0</v>
      </c>
      <c r="S20" s="100" t="str">
        <f>IFERROR(IF((Tabela1[[#This Row],[Produzir]])&gt;0,PRODUCT((Tabela1[[#This Row],[Produzir]])*Tabela1[[#This Row],[Volume]]),""),"")</f>
        <v/>
      </c>
      <c r="T20" s="278"/>
      <c r="U20" s="98"/>
      <c r="V20" s="102"/>
      <c r="W20" s="235">
        <v>31</v>
      </c>
      <c r="X20" s="98" t="s">
        <v>392</v>
      </c>
      <c r="Y20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41171</v>
      </c>
      <c r="Z20" s="250"/>
    </row>
    <row r="21" spans="1:26" ht="32.25" customHeight="1" x14ac:dyDescent="0.25">
      <c r="A21" s="6">
        <v>5635</v>
      </c>
      <c r="B21" s="270" t="s">
        <v>29</v>
      </c>
      <c r="C21" s="273" t="s">
        <v>57</v>
      </c>
      <c r="D21" s="272">
        <v>90</v>
      </c>
      <c r="E21" s="273" t="s">
        <v>65</v>
      </c>
      <c r="F21" s="293">
        <v>24</v>
      </c>
      <c r="G21" s="297">
        <v>40926</v>
      </c>
      <c r="H21" s="297"/>
      <c r="I21" s="98"/>
      <c r="J21" s="99"/>
      <c r="K21" s="98"/>
      <c r="L21" s="98"/>
      <c r="M21" s="98"/>
      <c r="N21" s="101"/>
      <c r="O21" s="102"/>
      <c r="P21" s="98" t="s">
        <v>196</v>
      </c>
      <c r="Q21" s="236"/>
      <c r="R21" s="103">
        <f>Tabela1[[#This Row],[Produzir]]/Tabela1[[#This Row],[CX]]</f>
        <v>0</v>
      </c>
      <c r="S21" s="100" t="str">
        <f>IFERROR(IF((Tabela1[[#This Row],[Produzir]])&gt;0,PRODUCT((Tabela1[[#This Row],[Produzir]])*Tabela1[[#This Row],[Volume]]),""),"")</f>
        <v/>
      </c>
      <c r="T21" s="278"/>
      <c r="U21" s="98"/>
      <c r="V21" s="102"/>
      <c r="W21" s="235">
        <v>32</v>
      </c>
      <c r="X21" s="98" t="s">
        <v>393</v>
      </c>
      <c r="Y21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40926</v>
      </c>
      <c r="Z21" s="250"/>
    </row>
    <row r="22" spans="1:26" ht="32.25" customHeight="1" x14ac:dyDescent="0.25">
      <c r="A22" s="6">
        <v>5630</v>
      </c>
      <c r="B22" s="270" t="s">
        <v>28</v>
      </c>
      <c r="C22" s="91" t="s">
        <v>57</v>
      </c>
      <c r="D22" s="272">
        <v>90</v>
      </c>
      <c r="E22" s="91" t="s">
        <v>63</v>
      </c>
      <c r="F22" s="293">
        <v>24</v>
      </c>
      <c r="G22" s="297">
        <v>29422</v>
      </c>
      <c r="H22" s="297"/>
      <c r="I22" s="98"/>
      <c r="J22" s="99"/>
      <c r="K22" s="100"/>
      <c r="L22" s="98"/>
      <c r="M22" s="98"/>
      <c r="N22" s="101"/>
      <c r="O22" s="102"/>
      <c r="P22" s="98" t="s">
        <v>196</v>
      </c>
      <c r="Q22" s="236"/>
      <c r="R22" s="103">
        <f>Tabela1[[#This Row],[Produzir]]/Tabela1[[#This Row],[CX]]</f>
        <v>0</v>
      </c>
      <c r="S22" s="100" t="str">
        <f>IFERROR(IF((Tabela1[[#This Row],[Produzir]])&gt;0,PRODUCT((Tabela1[[#This Row],[Produzir]])*Tabela1[[#This Row],[Volume]]),""),"")</f>
        <v/>
      </c>
      <c r="T22" s="278"/>
      <c r="U22" s="98"/>
      <c r="V22" s="102"/>
      <c r="W22" s="235">
        <v>33</v>
      </c>
      <c r="X22" s="98" t="s">
        <v>393</v>
      </c>
      <c r="Y22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29422</v>
      </c>
      <c r="Z22" s="250"/>
    </row>
    <row r="23" spans="1:26" ht="32.25" customHeight="1" x14ac:dyDescent="0.25">
      <c r="A23" s="6">
        <v>5272</v>
      </c>
      <c r="B23" s="303" t="s">
        <v>38</v>
      </c>
      <c r="C23" s="273" t="s">
        <v>57</v>
      </c>
      <c r="D23" s="272">
        <v>90</v>
      </c>
      <c r="E23" s="273" t="s">
        <v>68</v>
      </c>
      <c r="F23" s="293">
        <v>24</v>
      </c>
      <c r="G23" s="297">
        <v>40430</v>
      </c>
      <c r="H23" s="297"/>
      <c r="I23" s="98"/>
      <c r="J23" s="99"/>
      <c r="K23" s="98"/>
      <c r="L23" s="98"/>
      <c r="M23" s="98"/>
      <c r="N23" s="101"/>
      <c r="O23" s="102"/>
      <c r="P23" s="98" t="s">
        <v>196</v>
      </c>
      <c r="Q23" s="236"/>
      <c r="R23" s="103">
        <f>Tabela1[[#This Row],[Produzir]]/Tabela1[[#This Row],[CX]]</f>
        <v>0</v>
      </c>
      <c r="S23" s="100" t="str">
        <f>IFERROR(IF((Tabela1[[#This Row],[Produzir]])&gt;0,PRODUCT((Tabela1[[#This Row],[Produzir]])*Tabela1[[#This Row],[Volume]]),""),"")</f>
        <v/>
      </c>
      <c r="T23" s="278"/>
      <c r="U23" s="98"/>
      <c r="V23" s="102"/>
      <c r="W23" s="235">
        <v>34</v>
      </c>
      <c r="X23" s="98" t="s">
        <v>393</v>
      </c>
      <c r="Y23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40430</v>
      </c>
      <c r="Z23" s="250"/>
    </row>
    <row r="24" spans="1:26" ht="32.25" customHeight="1" x14ac:dyDescent="0.25">
      <c r="A24" s="6">
        <v>7010</v>
      </c>
      <c r="B24" s="270" t="s">
        <v>37</v>
      </c>
      <c r="C24" s="273" t="s">
        <v>57</v>
      </c>
      <c r="D24" s="272">
        <v>90</v>
      </c>
      <c r="E24" s="273" t="s">
        <v>67</v>
      </c>
      <c r="F24" s="293">
        <v>24</v>
      </c>
      <c r="G24" s="297">
        <v>5638</v>
      </c>
      <c r="H24" s="297"/>
      <c r="I24" s="98"/>
      <c r="J24" s="99"/>
      <c r="K24" s="100"/>
      <c r="L24" s="98"/>
      <c r="M24" s="98"/>
      <c r="N24" s="101"/>
      <c r="O24" s="102"/>
      <c r="P24" s="98" t="s">
        <v>196</v>
      </c>
      <c r="Q24" s="236"/>
      <c r="R24" s="103">
        <f>Tabela1[[#This Row],[Produzir]]/Tabela1[[#This Row],[CX]]</f>
        <v>0</v>
      </c>
      <c r="S24" s="100" t="str">
        <f>IFERROR(IF((Tabela1[[#This Row],[Produzir]])&gt;0,PRODUCT((Tabela1[[#This Row],[Produzir]])*Tabela1[[#This Row],[Volume]]),""),"")</f>
        <v/>
      </c>
      <c r="T24" s="278"/>
      <c r="U24" s="98"/>
      <c r="V24" s="102"/>
      <c r="W24" s="235">
        <v>35</v>
      </c>
      <c r="X24" s="98" t="s">
        <v>393</v>
      </c>
      <c r="Y24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5638</v>
      </c>
      <c r="Z24" s="250"/>
    </row>
    <row r="25" spans="1:26" ht="32.25" customHeight="1" x14ac:dyDescent="0.25">
      <c r="A25" s="6">
        <v>7000</v>
      </c>
      <c r="B25" s="270" t="s">
        <v>153</v>
      </c>
      <c r="C25" s="273" t="s">
        <v>57</v>
      </c>
      <c r="D25" s="272">
        <v>90</v>
      </c>
      <c r="E25" s="273" t="s">
        <v>155</v>
      </c>
      <c r="F25" s="293">
        <v>24</v>
      </c>
      <c r="G25" s="296">
        <v>6079.833333333333</v>
      </c>
      <c r="H25" s="297"/>
      <c r="I25" s="98"/>
      <c r="J25" s="99"/>
      <c r="K25" s="98"/>
      <c r="L25" s="98"/>
      <c r="M25" s="98"/>
      <c r="N25" s="101"/>
      <c r="O25" s="102"/>
      <c r="P25" s="98" t="s">
        <v>196</v>
      </c>
      <c r="Q25" s="236"/>
      <c r="R25" s="103">
        <f>Tabela1[[#This Row],[Produzir]]/Tabela1[[#This Row],[CX]]</f>
        <v>0</v>
      </c>
      <c r="S25" s="100" t="str">
        <f>IFERROR(IF((Tabela1[[#This Row],[Produzir]])&gt;0,PRODUCT((Tabela1[[#This Row],[Produzir]])*Tabela1[[#This Row],[Volume]]),""),"")</f>
        <v/>
      </c>
      <c r="T25" s="278"/>
      <c r="U25" s="98"/>
      <c r="V25" s="102"/>
      <c r="W25" s="235">
        <v>36</v>
      </c>
      <c r="X25" s="98" t="s">
        <v>393</v>
      </c>
      <c r="Y25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6079.833333333333</v>
      </c>
      <c r="Z25" s="250"/>
    </row>
    <row r="26" spans="1:26" ht="32.25" customHeight="1" x14ac:dyDescent="0.25">
      <c r="A26" s="6">
        <v>7030</v>
      </c>
      <c r="B26" s="270" t="s">
        <v>305</v>
      </c>
      <c r="C26" s="91" t="s">
        <v>57</v>
      </c>
      <c r="D26" s="272">
        <v>90</v>
      </c>
      <c r="E26" s="91" t="s">
        <v>201</v>
      </c>
      <c r="F26" s="293">
        <v>24</v>
      </c>
      <c r="G26" s="296">
        <v>15352</v>
      </c>
      <c r="H26" s="297"/>
      <c r="I26" s="98"/>
      <c r="J26" s="99"/>
      <c r="K26" s="98"/>
      <c r="L26" s="98"/>
      <c r="M26" s="98"/>
      <c r="N26" s="101"/>
      <c r="O26" s="102"/>
      <c r="P26" s="98" t="s">
        <v>196</v>
      </c>
      <c r="Q26" s="236"/>
      <c r="R26" s="103">
        <f>Tabela1[[#This Row],[Produzir]]/Tabela1[[#This Row],[CX]]</f>
        <v>0</v>
      </c>
      <c r="S26" s="100" t="str">
        <f>IFERROR(IF((Tabela1[[#This Row],[Produzir]])&gt;0,PRODUCT((Tabela1[[#This Row],[Produzir]])*Tabela1[[#This Row],[Volume]]),""),"")</f>
        <v/>
      </c>
      <c r="T26" s="279"/>
      <c r="U26" s="98"/>
      <c r="V26" s="102"/>
      <c r="W26" s="235">
        <v>37</v>
      </c>
      <c r="X26" s="98" t="s">
        <v>393</v>
      </c>
      <c r="Y26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15352</v>
      </c>
      <c r="Z26" s="250"/>
    </row>
    <row r="27" spans="1:26" ht="32.25" customHeight="1" x14ac:dyDescent="0.25">
      <c r="A27" s="6">
        <v>7040</v>
      </c>
      <c r="B27" s="270" t="s">
        <v>154</v>
      </c>
      <c r="C27" s="273" t="s">
        <v>57</v>
      </c>
      <c r="D27" s="272">
        <v>90</v>
      </c>
      <c r="E27" s="273" t="s">
        <v>156</v>
      </c>
      <c r="F27" s="293">
        <v>24</v>
      </c>
      <c r="G27" s="297">
        <v>19920</v>
      </c>
      <c r="H27" s="297"/>
      <c r="I27" s="98"/>
      <c r="J27" s="99"/>
      <c r="K27" s="98"/>
      <c r="L27" s="98"/>
      <c r="M27" s="98"/>
      <c r="N27" s="101"/>
      <c r="O27" s="102"/>
      <c r="P27" s="98" t="s">
        <v>196</v>
      </c>
      <c r="Q27" s="236"/>
      <c r="R27" s="103">
        <f>Tabela1[[#This Row],[Produzir]]/Tabela1[[#This Row],[CX]]</f>
        <v>0</v>
      </c>
      <c r="S27" s="100" t="str">
        <f>IFERROR(IF((Tabela1[[#This Row],[Produzir]])&gt;0,PRODUCT((Tabela1[[#This Row],[Produzir]])*Tabela1[[#This Row],[Volume]]),""),"")</f>
        <v/>
      </c>
      <c r="T27" s="278"/>
      <c r="U27" s="98"/>
      <c r="V27" s="102"/>
      <c r="W27" s="235">
        <v>38</v>
      </c>
      <c r="X27" s="98" t="s">
        <v>393</v>
      </c>
      <c r="Y27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19920</v>
      </c>
      <c r="Z27" s="250"/>
    </row>
    <row r="28" spans="1:26" ht="32.25" customHeight="1" x14ac:dyDescent="0.25">
      <c r="A28" s="6">
        <v>5609</v>
      </c>
      <c r="B28" s="270" t="s">
        <v>154</v>
      </c>
      <c r="C28" s="273" t="s">
        <v>57</v>
      </c>
      <c r="D28" s="272">
        <v>90</v>
      </c>
      <c r="E28" s="273" t="s">
        <v>156</v>
      </c>
      <c r="F28" s="293">
        <v>1</v>
      </c>
      <c r="G28" s="297">
        <v>19920</v>
      </c>
      <c r="H28" s="297"/>
      <c r="I28" s="98"/>
      <c r="J28" s="99"/>
      <c r="K28" s="98"/>
      <c r="L28" s="98"/>
      <c r="M28" s="98"/>
      <c r="N28" s="101"/>
      <c r="O28" s="102"/>
      <c r="P28" s="98" t="s">
        <v>196</v>
      </c>
      <c r="Q28" s="236"/>
      <c r="R28" s="103">
        <f>Tabela1[[#This Row],[Produzir]]/Tabela1[[#This Row],[CX]]</f>
        <v>0</v>
      </c>
      <c r="S28" s="100" t="str">
        <f>IFERROR(IF((Tabela1[[#This Row],[Produzir]])&gt;0,PRODUCT((Tabela1[[#This Row],[Produzir]])*Tabela1[[#This Row],[Volume]]),""),"")</f>
        <v/>
      </c>
      <c r="T28" s="278"/>
      <c r="U28" s="98"/>
      <c r="V28" s="102"/>
      <c r="W28" s="235">
        <v>38</v>
      </c>
      <c r="X28" s="98" t="s">
        <v>393</v>
      </c>
      <c r="Y28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19920</v>
      </c>
      <c r="Z28" s="250"/>
    </row>
    <row r="29" spans="1:26" ht="32.25" customHeight="1" x14ac:dyDescent="0.25">
      <c r="A29" s="6">
        <v>5347</v>
      </c>
      <c r="B29" s="270" t="s">
        <v>39</v>
      </c>
      <c r="C29" s="273" t="s">
        <v>57</v>
      </c>
      <c r="D29" s="275">
        <v>450</v>
      </c>
      <c r="E29" s="273" t="s">
        <v>64</v>
      </c>
      <c r="F29" s="293">
        <v>12</v>
      </c>
      <c r="G29" s="297">
        <v>66315.416666666672</v>
      </c>
      <c r="H29" s="297"/>
      <c r="I29" s="98"/>
      <c r="J29" s="99"/>
      <c r="K29" s="98"/>
      <c r="L29" s="98"/>
      <c r="M29" s="98"/>
      <c r="N29" s="101"/>
      <c r="O29" s="102"/>
      <c r="P29" s="98" t="s">
        <v>361</v>
      </c>
      <c r="Q29" s="236"/>
      <c r="R29" s="103">
        <f>Tabela1[[#This Row],[Produzir]]/Tabela1[[#This Row],[CX]]</f>
        <v>0</v>
      </c>
      <c r="S29" s="100" t="str">
        <f>IFERROR(IF((Tabela1[[#This Row],[Produzir]])&gt;0,PRODUCT((Tabela1[[#This Row],[Produzir]])*Tabela1[[#This Row],[Volume]]),""),"")</f>
        <v/>
      </c>
      <c r="T29" s="278"/>
      <c r="U29" s="98"/>
      <c r="V29" s="102"/>
      <c r="W29" s="235">
        <v>39</v>
      </c>
      <c r="X29" s="98" t="s">
        <v>392</v>
      </c>
      <c r="Y29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33157.708333333336</v>
      </c>
      <c r="Z29" s="250"/>
    </row>
    <row r="30" spans="1:26" ht="32.25" customHeight="1" x14ac:dyDescent="0.25">
      <c r="A30" s="6">
        <v>5299</v>
      </c>
      <c r="B30" s="270" t="s">
        <v>43</v>
      </c>
      <c r="C30" s="273" t="s">
        <v>57</v>
      </c>
      <c r="D30" s="275">
        <v>450</v>
      </c>
      <c r="E30" s="273" t="s">
        <v>66</v>
      </c>
      <c r="F30" s="293">
        <v>12</v>
      </c>
      <c r="G30" s="297">
        <v>31064.333333333332</v>
      </c>
      <c r="H30" s="297"/>
      <c r="I30" s="98"/>
      <c r="J30" s="99"/>
      <c r="K30" s="98"/>
      <c r="L30" s="98"/>
      <c r="M30" s="98"/>
      <c r="N30" s="290"/>
      <c r="O30" s="291"/>
      <c r="P30" s="98" t="s">
        <v>361</v>
      </c>
      <c r="Q30" s="236"/>
      <c r="R30" s="103">
        <f>Tabela1[[#This Row],[Produzir]]/Tabela1[[#This Row],[CX]]</f>
        <v>0</v>
      </c>
      <c r="S30" s="100" t="str">
        <f>IFERROR(IF((Tabela1[[#This Row],[Produzir]])&gt;0,PRODUCT((Tabela1[[#This Row],[Produzir]])*Tabela1[[#This Row],[Volume]]),""),"")</f>
        <v/>
      </c>
      <c r="T30" s="278"/>
      <c r="U30" s="98"/>
      <c r="V30" s="102"/>
      <c r="W30" s="235">
        <v>40</v>
      </c>
      <c r="X30" s="98" t="s">
        <v>392</v>
      </c>
      <c r="Y30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15532.166666666666</v>
      </c>
      <c r="Z30" s="250"/>
    </row>
    <row r="31" spans="1:26" ht="32.25" customHeight="1" x14ac:dyDescent="0.25">
      <c r="A31" s="6">
        <v>5585</v>
      </c>
      <c r="B31" s="270" t="s">
        <v>40</v>
      </c>
      <c r="C31" s="273" t="s">
        <v>57</v>
      </c>
      <c r="D31" s="275">
        <v>450</v>
      </c>
      <c r="E31" s="273" t="s">
        <v>62</v>
      </c>
      <c r="F31" s="293">
        <v>12</v>
      </c>
      <c r="G31" s="297">
        <v>10306</v>
      </c>
      <c r="H31" s="297"/>
      <c r="I31" s="98"/>
      <c r="J31" s="99"/>
      <c r="K31" s="98"/>
      <c r="L31" s="98"/>
      <c r="M31" s="98"/>
      <c r="N31" s="101"/>
      <c r="O31" s="102"/>
      <c r="P31" s="98" t="s">
        <v>361</v>
      </c>
      <c r="Q31" s="236"/>
      <c r="R31" s="103">
        <f>Tabela1[[#This Row],[Produzir]]/Tabela1[[#This Row],[CX]]</f>
        <v>0</v>
      </c>
      <c r="S31" s="100" t="str">
        <f>IFERROR(IF((Tabela1[[#This Row],[Produzir]])&gt;0,PRODUCT((Tabela1[[#This Row],[Produzir]])*Tabela1[[#This Row],[Volume]]),""),"")</f>
        <v/>
      </c>
      <c r="T31" s="278"/>
      <c r="U31" s="98"/>
      <c r="V31" s="102"/>
      <c r="W31" s="235">
        <v>41</v>
      </c>
      <c r="X31" s="98" t="s">
        <v>393</v>
      </c>
      <c r="Y31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10306</v>
      </c>
      <c r="Z31" s="250"/>
    </row>
    <row r="32" spans="1:26" ht="32.25" customHeight="1" x14ac:dyDescent="0.25">
      <c r="A32" s="6">
        <v>5579</v>
      </c>
      <c r="B32" s="270" t="s">
        <v>42</v>
      </c>
      <c r="C32" s="273" t="s">
        <v>57</v>
      </c>
      <c r="D32" s="275">
        <v>450</v>
      </c>
      <c r="E32" s="273" t="s">
        <v>65</v>
      </c>
      <c r="F32" s="293">
        <v>12</v>
      </c>
      <c r="G32" s="297">
        <v>9525.75</v>
      </c>
      <c r="H32" s="297"/>
      <c r="I32" s="98"/>
      <c r="J32" s="99"/>
      <c r="K32" s="98"/>
      <c r="L32" s="98"/>
      <c r="M32" s="98"/>
      <c r="N32" s="101"/>
      <c r="O32" s="102"/>
      <c r="P32" s="98" t="s">
        <v>361</v>
      </c>
      <c r="Q32" s="236"/>
      <c r="R32" s="103">
        <f>Tabela1[[#This Row],[Produzir]]/Tabela1[[#This Row],[CX]]</f>
        <v>0</v>
      </c>
      <c r="S32" s="100" t="str">
        <f>IFERROR(IF((Tabela1[[#This Row],[Produzir]])&gt;0,PRODUCT((Tabela1[[#This Row],[Produzir]])*Tabela1[[#This Row],[Volume]]),""),"")</f>
        <v/>
      </c>
      <c r="T32" s="278"/>
      <c r="U32" s="98"/>
      <c r="V32" s="102"/>
      <c r="W32" s="235">
        <v>42</v>
      </c>
      <c r="X32" s="98" t="s">
        <v>393</v>
      </c>
      <c r="Y32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9525.75</v>
      </c>
      <c r="Z32" s="250"/>
    </row>
    <row r="33" spans="1:26" ht="32.25" customHeight="1" x14ac:dyDescent="0.25">
      <c r="A33" s="6">
        <v>5582</v>
      </c>
      <c r="B33" s="270" t="s">
        <v>41</v>
      </c>
      <c r="C33" s="273" t="s">
        <v>57</v>
      </c>
      <c r="D33" s="275">
        <v>450</v>
      </c>
      <c r="E33" s="273" t="s">
        <v>63</v>
      </c>
      <c r="F33" s="293">
        <v>12</v>
      </c>
      <c r="G33" s="297">
        <v>6589.5</v>
      </c>
      <c r="H33" s="297"/>
      <c r="I33" s="98"/>
      <c r="J33" s="99"/>
      <c r="K33" s="98"/>
      <c r="L33" s="98"/>
      <c r="M33" s="98"/>
      <c r="N33" s="101"/>
      <c r="O33" s="102"/>
      <c r="P33" s="98" t="s">
        <v>361</v>
      </c>
      <c r="Q33" s="236"/>
      <c r="R33" s="103">
        <f>Tabela1[[#This Row],[Produzir]]/Tabela1[[#This Row],[CX]]</f>
        <v>0</v>
      </c>
      <c r="S33" s="100" t="str">
        <f>IFERROR(IF((Tabela1[[#This Row],[Produzir]])&gt;0,PRODUCT((Tabela1[[#This Row],[Produzir]])*Tabela1[[#This Row],[Volume]]),""),"")</f>
        <v/>
      </c>
      <c r="T33" s="278"/>
      <c r="U33" s="98"/>
      <c r="V33" s="102"/>
      <c r="W33" s="235">
        <v>43</v>
      </c>
      <c r="X33" s="98" t="s">
        <v>393</v>
      </c>
      <c r="Y33" s="295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>6589.5</v>
      </c>
      <c r="Z33" s="250"/>
    </row>
    <row r="34" spans="1:26" ht="32.25" customHeight="1" x14ac:dyDescent="0.25">
      <c r="A34" s="6">
        <v>5900</v>
      </c>
      <c r="B34" s="270" t="s">
        <v>75</v>
      </c>
      <c r="C34" s="273" t="s">
        <v>79</v>
      </c>
      <c r="D34" s="272">
        <v>75</v>
      </c>
      <c r="E34" s="273" t="s">
        <v>64</v>
      </c>
      <c r="F34" s="274">
        <v>24</v>
      </c>
      <c r="G34" s="296">
        <v>3754</v>
      </c>
      <c r="H34" s="297"/>
      <c r="I34" s="98"/>
      <c r="J34" s="99"/>
      <c r="K34" s="98"/>
      <c r="L34" s="98"/>
      <c r="M34" s="98"/>
      <c r="N34" s="101"/>
      <c r="O34" s="102"/>
      <c r="P34" s="98" t="s">
        <v>355</v>
      </c>
      <c r="Q34" s="236"/>
      <c r="R34" s="103">
        <f>Tabela1[[#This Row],[Produzir]]/Tabela1[[#This Row],[CX]]</f>
        <v>0</v>
      </c>
      <c r="S34" s="100" t="str">
        <f>IFERROR(IF((Tabela1[[#This Row],[Produzir]])&gt;0,PRODUCT((Tabela1[[#This Row],[Produzir]])*Tabela1[[#This Row],[Volume]]),""),"")</f>
        <v/>
      </c>
      <c r="T34" s="278"/>
      <c r="U34" s="98"/>
      <c r="V34" s="102"/>
      <c r="W34" s="235">
        <v>44</v>
      </c>
      <c r="X34" s="98" t="s">
        <v>310</v>
      </c>
      <c r="Y34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34" s="250"/>
    </row>
    <row r="35" spans="1:26" ht="32.25" customHeight="1" x14ac:dyDescent="0.25">
      <c r="A35" s="6">
        <v>2903</v>
      </c>
      <c r="B35" s="270" t="s">
        <v>74</v>
      </c>
      <c r="C35" s="273" t="s">
        <v>79</v>
      </c>
      <c r="D35" s="272">
        <v>75</v>
      </c>
      <c r="E35" s="273" t="s">
        <v>80</v>
      </c>
      <c r="F35" s="274">
        <v>24</v>
      </c>
      <c r="G35" s="299">
        <v>2000</v>
      </c>
      <c r="H35" s="297"/>
      <c r="I35" s="98"/>
      <c r="J35" s="99"/>
      <c r="K35" s="98"/>
      <c r="L35" s="98"/>
      <c r="M35" s="98"/>
      <c r="N35" s="101"/>
      <c r="O35" s="102"/>
      <c r="P35" s="98" t="s">
        <v>355</v>
      </c>
      <c r="Q35" s="236"/>
      <c r="R35" s="103">
        <f>Tabela1[[#This Row],[Produzir]]/Tabela1[[#This Row],[CX]]</f>
        <v>0</v>
      </c>
      <c r="S35" s="100" t="str">
        <f>IFERROR(IF((Tabela1[[#This Row],[Produzir]])&gt;0,PRODUCT((Tabela1[[#This Row],[Produzir]])*Tabela1[[#This Row],[Volume]]),""),"")</f>
        <v/>
      </c>
      <c r="T35" s="278"/>
      <c r="U35" s="98"/>
      <c r="V35" s="102"/>
      <c r="W35" s="235">
        <v>45</v>
      </c>
      <c r="X35" s="98" t="s">
        <v>310</v>
      </c>
      <c r="Y35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35" s="250"/>
    </row>
    <row r="36" spans="1:26" ht="32.25" customHeight="1" x14ac:dyDescent="0.25">
      <c r="A36" s="6">
        <v>5904</v>
      </c>
      <c r="B36" s="270" t="s">
        <v>76</v>
      </c>
      <c r="C36" s="273" t="s">
        <v>79</v>
      </c>
      <c r="D36" s="272">
        <v>75</v>
      </c>
      <c r="E36" s="273" t="s">
        <v>62</v>
      </c>
      <c r="F36" s="274">
        <v>24</v>
      </c>
      <c r="G36" s="299">
        <v>600</v>
      </c>
      <c r="H36" s="297"/>
      <c r="I36" s="98"/>
      <c r="J36" s="99"/>
      <c r="K36" s="98"/>
      <c r="L36" s="98"/>
      <c r="M36" s="98"/>
      <c r="N36" s="101"/>
      <c r="O36" s="102"/>
      <c r="P36" s="98" t="s">
        <v>355</v>
      </c>
      <c r="Q36" s="236"/>
      <c r="R36" s="103">
        <f>Tabela1[[#This Row],[Produzir]]/Tabela1[[#This Row],[CX]]</f>
        <v>0</v>
      </c>
      <c r="S36" s="100" t="str">
        <f>IFERROR(IF((Tabela1[[#This Row],[Produzir]])&gt;0,PRODUCT((Tabela1[[#This Row],[Produzir]])*Tabela1[[#This Row],[Volume]]),""),"")</f>
        <v/>
      </c>
      <c r="T36" s="278"/>
      <c r="U36" s="98"/>
      <c r="V36" s="102"/>
      <c r="W36" s="235">
        <v>46</v>
      </c>
      <c r="X36" s="98" t="s">
        <v>310</v>
      </c>
      <c r="Y36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36" s="250"/>
    </row>
    <row r="37" spans="1:26" ht="32.25" customHeight="1" x14ac:dyDescent="0.25">
      <c r="A37" s="6">
        <v>5902</v>
      </c>
      <c r="B37" s="270" t="s">
        <v>73</v>
      </c>
      <c r="C37" s="273" t="s">
        <v>79</v>
      </c>
      <c r="D37" s="272">
        <v>75</v>
      </c>
      <c r="E37" s="273" t="s">
        <v>65</v>
      </c>
      <c r="F37" s="274">
        <v>24</v>
      </c>
      <c r="G37" s="299">
        <v>600</v>
      </c>
      <c r="H37" s="297"/>
      <c r="I37" s="98"/>
      <c r="J37" s="99"/>
      <c r="K37" s="98"/>
      <c r="L37" s="98"/>
      <c r="M37" s="98"/>
      <c r="N37" s="101"/>
      <c r="O37" s="102"/>
      <c r="P37" s="98" t="s">
        <v>355</v>
      </c>
      <c r="Q37" s="236"/>
      <c r="R37" s="103">
        <f>Tabela1[[#This Row],[Produzir]]/Tabela1[[#This Row],[CX]]</f>
        <v>0</v>
      </c>
      <c r="S37" s="100" t="str">
        <f>IFERROR(IF((Tabela1[[#This Row],[Produzir]])&gt;0,PRODUCT((Tabela1[[#This Row],[Produzir]])*Tabela1[[#This Row],[Volume]]),""),"")</f>
        <v/>
      </c>
      <c r="T37" s="278"/>
      <c r="U37" s="98"/>
      <c r="V37" s="102"/>
      <c r="W37" s="235">
        <v>47</v>
      </c>
      <c r="X37" s="98" t="s">
        <v>310</v>
      </c>
      <c r="Y37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37" s="250"/>
    </row>
    <row r="38" spans="1:26" ht="32.25" customHeight="1" x14ac:dyDescent="0.25">
      <c r="A38" s="6">
        <v>5901</v>
      </c>
      <c r="B38" s="270" t="s">
        <v>72</v>
      </c>
      <c r="C38" s="273" t="s">
        <v>79</v>
      </c>
      <c r="D38" s="272">
        <v>75</v>
      </c>
      <c r="E38" s="273" t="s">
        <v>63</v>
      </c>
      <c r="F38" s="274">
        <v>24</v>
      </c>
      <c r="G38" s="299">
        <v>600</v>
      </c>
      <c r="H38" s="297"/>
      <c r="I38" s="98"/>
      <c r="J38" s="99"/>
      <c r="K38" s="98"/>
      <c r="L38" s="98"/>
      <c r="M38" s="98"/>
      <c r="N38" s="101"/>
      <c r="O38" s="102"/>
      <c r="P38" s="98" t="s">
        <v>355</v>
      </c>
      <c r="Q38" s="236"/>
      <c r="R38" s="103">
        <f>Tabela1[[#This Row],[Produzir]]/Tabela1[[#This Row],[CX]]</f>
        <v>0</v>
      </c>
      <c r="S38" s="100" t="str">
        <f>IFERROR(IF((Tabela1[[#This Row],[Produzir]])&gt;0,PRODUCT((Tabela1[[#This Row],[Produzir]])*Tabela1[[#This Row],[Volume]]),""),"")</f>
        <v/>
      </c>
      <c r="T38" s="278"/>
      <c r="U38" s="98"/>
      <c r="V38" s="102"/>
      <c r="W38" s="235">
        <v>48</v>
      </c>
      <c r="X38" s="98" t="s">
        <v>310</v>
      </c>
      <c r="Y38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38" s="250"/>
    </row>
    <row r="39" spans="1:26" ht="32.25" customHeight="1" x14ac:dyDescent="0.25">
      <c r="A39" s="6">
        <v>7020</v>
      </c>
      <c r="B39" s="247" t="s">
        <v>158</v>
      </c>
      <c r="C39" s="273" t="s">
        <v>79</v>
      </c>
      <c r="D39" s="7">
        <v>75</v>
      </c>
      <c r="E39" s="273" t="s">
        <v>159</v>
      </c>
      <c r="F39" s="274">
        <v>24</v>
      </c>
      <c r="G39" s="296">
        <v>880</v>
      </c>
      <c r="H39" s="297"/>
      <c r="I39" s="98"/>
      <c r="J39" s="99"/>
      <c r="K39" s="98"/>
      <c r="L39" s="98"/>
      <c r="M39" s="98"/>
      <c r="N39" s="101"/>
      <c r="O39" s="102"/>
      <c r="P39" s="98" t="s">
        <v>355</v>
      </c>
      <c r="Q39" s="236"/>
      <c r="R39" s="103">
        <f>Tabela1[[#This Row],[Produzir]]/Tabela1[[#This Row],[CX]]</f>
        <v>0</v>
      </c>
      <c r="S39" s="100" t="str">
        <f>IFERROR(IF((Tabela1[[#This Row],[Produzir]])&gt;0,PRODUCT((Tabela1[[#This Row],[Produzir]])*Tabela1[[#This Row],[Volume]]),""),"")</f>
        <v/>
      </c>
      <c r="T39" s="278"/>
      <c r="U39" s="98"/>
      <c r="V39" s="102"/>
      <c r="W39" s="235">
        <v>66</v>
      </c>
      <c r="X39" s="98" t="s">
        <v>310</v>
      </c>
      <c r="Y39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39" s="250"/>
    </row>
    <row r="40" spans="1:26" ht="32.25" customHeight="1" x14ac:dyDescent="0.25">
      <c r="A40" s="6">
        <v>5936</v>
      </c>
      <c r="B40" s="247" t="s">
        <v>311</v>
      </c>
      <c r="C40" s="273" t="s">
        <v>336</v>
      </c>
      <c r="D40" s="7">
        <v>500</v>
      </c>
      <c r="E40" s="273"/>
      <c r="F40" s="274">
        <v>6</v>
      </c>
      <c r="G40" s="296">
        <v>233</v>
      </c>
      <c r="H40" s="297"/>
      <c r="I40" s="97"/>
      <c r="J40" s="245"/>
      <c r="K40" s="97"/>
      <c r="L40" s="97"/>
      <c r="M40" s="97"/>
      <c r="N40" s="242"/>
      <c r="O40" s="95"/>
      <c r="P40" s="98" t="s">
        <v>355</v>
      </c>
      <c r="Q40" s="244"/>
      <c r="R40" s="243">
        <f>Tabela1[[#This Row],[Produzir]]/Tabela1[[#This Row],[CX]]</f>
        <v>0</v>
      </c>
      <c r="S40" s="100" t="str">
        <f>IFERROR(IF((Tabela1[[#This Row],[Produzir]])&gt;0,PRODUCT((Tabela1[[#This Row],[Produzir]])*Tabela1[[#This Row],[Volume]]),""),"")</f>
        <v/>
      </c>
      <c r="T40" s="278"/>
      <c r="U40" s="97"/>
      <c r="V40" s="95"/>
      <c r="W40" s="235">
        <v>67</v>
      </c>
      <c r="X40" s="98" t="s">
        <v>310</v>
      </c>
      <c r="Y40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0" s="250"/>
    </row>
    <row r="41" spans="1:26" ht="32.25" customHeight="1" x14ac:dyDescent="0.25">
      <c r="A41" s="6">
        <v>5320</v>
      </c>
      <c r="B41" s="247" t="s">
        <v>314</v>
      </c>
      <c r="C41" s="273" t="s">
        <v>336</v>
      </c>
      <c r="D41" s="7">
        <v>500</v>
      </c>
      <c r="E41" s="273"/>
      <c r="F41" s="274">
        <v>6</v>
      </c>
      <c r="G41" s="296">
        <v>1290.5</v>
      </c>
      <c r="H41" s="297"/>
      <c r="I41" s="97"/>
      <c r="J41" s="245"/>
      <c r="K41" s="97"/>
      <c r="L41" s="97"/>
      <c r="M41" s="97"/>
      <c r="N41" s="242"/>
      <c r="O41" s="95"/>
      <c r="P41" s="98" t="s">
        <v>355</v>
      </c>
      <c r="Q41" s="244"/>
      <c r="R41" s="243">
        <f>Tabela1[[#This Row],[Produzir]]/Tabela1[[#This Row],[CX]]</f>
        <v>0</v>
      </c>
      <c r="S41" s="100" t="str">
        <f>IFERROR(IF((Tabela1[[#This Row],[Produzir]])&gt;0,PRODUCT((Tabela1[[#This Row],[Produzir]])*Tabela1[[#This Row],[Volume]]),""),"")</f>
        <v/>
      </c>
      <c r="T41" s="278"/>
      <c r="U41" s="97"/>
      <c r="V41" s="95"/>
      <c r="W41" s="235">
        <v>68</v>
      </c>
      <c r="X41" s="98" t="s">
        <v>310</v>
      </c>
      <c r="Y41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1" s="250"/>
    </row>
    <row r="42" spans="1:26" ht="32.25" customHeight="1" x14ac:dyDescent="0.25">
      <c r="A42" s="6">
        <v>5321</v>
      </c>
      <c r="B42" s="247" t="s">
        <v>316</v>
      </c>
      <c r="C42" s="273" t="s">
        <v>336</v>
      </c>
      <c r="D42" s="7">
        <v>500</v>
      </c>
      <c r="E42" s="273"/>
      <c r="F42" s="274">
        <v>6</v>
      </c>
      <c r="G42" s="296">
        <v>898.33333333333337</v>
      </c>
      <c r="H42" s="297"/>
      <c r="I42" s="97"/>
      <c r="J42" s="245"/>
      <c r="K42" s="97"/>
      <c r="L42" s="97"/>
      <c r="M42" s="97"/>
      <c r="N42" s="242"/>
      <c r="O42" s="95"/>
      <c r="P42" s="98" t="s">
        <v>355</v>
      </c>
      <c r="Q42" s="244"/>
      <c r="R42" s="243">
        <f>Tabela1[[#This Row],[Produzir]]/Tabela1[[#This Row],[CX]]</f>
        <v>0</v>
      </c>
      <c r="S42" s="100" t="str">
        <f>IFERROR(IF((Tabela1[[#This Row],[Produzir]])&gt;0,PRODUCT((Tabela1[[#This Row],[Produzir]])*Tabela1[[#This Row],[Volume]]),""),"")</f>
        <v/>
      </c>
      <c r="T42" s="278"/>
      <c r="U42" s="97"/>
      <c r="V42" s="95"/>
      <c r="W42" s="235">
        <v>69</v>
      </c>
      <c r="X42" s="98" t="s">
        <v>310</v>
      </c>
      <c r="Y42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2" s="250"/>
    </row>
    <row r="43" spans="1:26" ht="32.25" customHeight="1" x14ac:dyDescent="0.25">
      <c r="A43" s="6">
        <v>5941</v>
      </c>
      <c r="B43" s="247" t="s">
        <v>318</v>
      </c>
      <c r="C43" s="273" t="s">
        <v>336</v>
      </c>
      <c r="D43" s="7">
        <v>500</v>
      </c>
      <c r="E43" s="273"/>
      <c r="F43" s="274">
        <v>6</v>
      </c>
      <c r="G43" s="296">
        <v>342</v>
      </c>
      <c r="H43" s="297"/>
      <c r="I43" s="97"/>
      <c r="J43" s="245"/>
      <c r="K43" s="97"/>
      <c r="L43" s="97"/>
      <c r="M43" s="97"/>
      <c r="N43" s="242"/>
      <c r="O43" s="95"/>
      <c r="P43" s="98" t="s">
        <v>355</v>
      </c>
      <c r="Q43" s="244"/>
      <c r="R43" s="243">
        <f>Tabela1[[#This Row],[Produzir]]/Tabela1[[#This Row],[CX]]</f>
        <v>0</v>
      </c>
      <c r="S43" s="100" t="str">
        <f>IFERROR(IF((Tabela1[[#This Row],[Produzir]])&gt;0,PRODUCT((Tabela1[[#This Row],[Produzir]])*Tabela1[[#This Row],[Volume]]),""),"")</f>
        <v/>
      </c>
      <c r="T43" s="278"/>
      <c r="U43" s="97"/>
      <c r="V43" s="95"/>
      <c r="W43" s="235">
        <v>70</v>
      </c>
      <c r="X43" s="98" t="s">
        <v>310</v>
      </c>
      <c r="Y43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3" s="250"/>
    </row>
    <row r="44" spans="1:26" ht="32.25" customHeight="1" x14ac:dyDescent="0.25">
      <c r="A44" s="6">
        <v>5935</v>
      </c>
      <c r="B44" s="247" t="s">
        <v>312</v>
      </c>
      <c r="C44" s="273" t="s">
        <v>336</v>
      </c>
      <c r="D44" s="7">
        <v>120</v>
      </c>
      <c r="E44" s="273"/>
      <c r="F44" s="274">
        <v>12</v>
      </c>
      <c r="G44" s="296">
        <v>385</v>
      </c>
      <c r="H44" s="297"/>
      <c r="I44" s="97"/>
      <c r="J44" s="245"/>
      <c r="K44" s="97"/>
      <c r="L44" s="97"/>
      <c r="M44" s="97"/>
      <c r="N44" s="242"/>
      <c r="O44" s="95"/>
      <c r="P44" s="98" t="s">
        <v>355</v>
      </c>
      <c r="Q44" s="244"/>
      <c r="R44" s="243">
        <f>Tabela1[[#This Row],[Produzir]]/Tabela1[[#This Row],[CX]]</f>
        <v>0</v>
      </c>
      <c r="S44" s="100" t="str">
        <f>IFERROR(IF((Tabela1[[#This Row],[Produzir]])&gt;0,PRODUCT((Tabela1[[#This Row],[Produzir]])*Tabela1[[#This Row],[Volume]]),""),"")</f>
        <v/>
      </c>
      <c r="T44" s="278"/>
      <c r="U44" s="97"/>
      <c r="V44" s="95"/>
      <c r="W44" s="235">
        <v>71</v>
      </c>
      <c r="X44" s="98" t="s">
        <v>310</v>
      </c>
      <c r="Y44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4" s="250"/>
    </row>
    <row r="45" spans="1:26" ht="32.25" customHeight="1" x14ac:dyDescent="0.25">
      <c r="A45" s="6">
        <v>5322</v>
      </c>
      <c r="B45" s="270" t="s">
        <v>313</v>
      </c>
      <c r="C45" s="273" t="s">
        <v>336</v>
      </c>
      <c r="D45" s="272">
        <v>120</v>
      </c>
      <c r="E45" s="273"/>
      <c r="F45" s="274">
        <v>12</v>
      </c>
      <c r="G45" s="296">
        <v>1206</v>
      </c>
      <c r="H45" s="297"/>
      <c r="I45" s="97"/>
      <c r="J45" s="245"/>
      <c r="K45" s="97"/>
      <c r="L45" s="97"/>
      <c r="M45" s="97"/>
      <c r="N45" s="242"/>
      <c r="O45" s="95"/>
      <c r="P45" s="98" t="s">
        <v>355</v>
      </c>
      <c r="Q45" s="244"/>
      <c r="R45" s="243">
        <f>Tabela1[[#This Row],[Produzir]]/Tabela1[[#This Row],[CX]]</f>
        <v>0</v>
      </c>
      <c r="S45" s="100" t="str">
        <f>IFERROR(IF((Tabela1[[#This Row],[Produzir]])&gt;0,PRODUCT((Tabela1[[#This Row],[Produzir]])*Tabela1[[#This Row],[Volume]]),""),"")</f>
        <v/>
      </c>
      <c r="T45" s="278"/>
      <c r="U45" s="97"/>
      <c r="V45" s="95"/>
      <c r="W45" s="235">
        <v>72</v>
      </c>
      <c r="X45" s="98" t="s">
        <v>310</v>
      </c>
      <c r="Y45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5" s="250"/>
    </row>
    <row r="46" spans="1:26" ht="32.25" customHeight="1" x14ac:dyDescent="0.25">
      <c r="A46" s="6">
        <v>5323</v>
      </c>
      <c r="B46" s="270" t="s">
        <v>315</v>
      </c>
      <c r="C46" s="273" t="s">
        <v>336</v>
      </c>
      <c r="D46" s="272">
        <v>120</v>
      </c>
      <c r="E46" s="273"/>
      <c r="F46" s="274">
        <v>12</v>
      </c>
      <c r="G46" s="296">
        <v>1006</v>
      </c>
      <c r="H46" s="297"/>
      <c r="I46" s="97"/>
      <c r="J46" s="245"/>
      <c r="K46" s="97"/>
      <c r="L46" s="97"/>
      <c r="M46" s="97"/>
      <c r="N46" s="242"/>
      <c r="O46" s="95"/>
      <c r="P46" s="98" t="s">
        <v>355</v>
      </c>
      <c r="Q46" s="244"/>
      <c r="R46" s="243">
        <f>Tabela1[[#This Row],[Produzir]]/Tabela1[[#This Row],[CX]]</f>
        <v>0</v>
      </c>
      <c r="S46" s="100" t="str">
        <f>IFERROR(IF((Tabela1[[#This Row],[Produzir]])&gt;0,PRODUCT((Tabela1[[#This Row],[Produzir]])*Tabela1[[#This Row],[Volume]]),""),"")</f>
        <v/>
      </c>
      <c r="T46" s="278"/>
      <c r="U46" s="97"/>
      <c r="V46" s="95"/>
      <c r="W46" s="235">
        <v>73</v>
      </c>
      <c r="X46" s="98" t="s">
        <v>310</v>
      </c>
      <c r="Y46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6" s="250"/>
    </row>
    <row r="47" spans="1:26" ht="32.25" customHeight="1" x14ac:dyDescent="0.25">
      <c r="A47" s="6">
        <v>5940</v>
      </c>
      <c r="B47" s="270" t="s">
        <v>317</v>
      </c>
      <c r="C47" s="273" t="s">
        <v>336</v>
      </c>
      <c r="D47" s="7">
        <v>120</v>
      </c>
      <c r="E47" s="273"/>
      <c r="F47" s="274">
        <v>12</v>
      </c>
      <c r="G47" s="296">
        <v>536</v>
      </c>
      <c r="H47" s="297"/>
      <c r="I47" s="97"/>
      <c r="J47" s="245"/>
      <c r="K47" s="97"/>
      <c r="L47" s="97"/>
      <c r="M47" s="97"/>
      <c r="N47" s="242"/>
      <c r="O47" s="95"/>
      <c r="P47" s="98" t="s">
        <v>355</v>
      </c>
      <c r="Q47" s="244"/>
      <c r="R47" s="243">
        <f>Tabela1[[#This Row],[Produzir]]/Tabela1[[#This Row],[CX]]</f>
        <v>0</v>
      </c>
      <c r="S47" s="100" t="str">
        <f>IFERROR(IF((Tabela1[[#This Row],[Produzir]])&gt;0,PRODUCT((Tabela1[[#This Row],[Produzir]])*Tabela1[[#This Row],[Volume]]),""),"")</f>
        <v/>
      </c>
      <c r="T47" s="278"/>
      <c r="U47" s="97"/>
      <c r="V47" s="95"/>
      <c r="W47" s="235">
        <v>74</v>
      </c>
      <c r="X47" s="98" t="s">
        <v>310</v>
      </c>
      <c r="Y47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7" s="250"/>
    </row>
    <row r="48" spans="1:26" ht="32.25" customHeight="1" x14ac:dyDescent="0.25">
      <c r="A48" s="6">
        <v>5300</v>
      </c>
      <c r="B48" s="270" t="s">
        <v>319</v>
      </c>
      <c r="C48" s="273" t="s">
        <v>337</v>
      </c>
      <c r="D48" s="272">
        <v>90</v>
      </c>
      <c r="E48" s="273"/>
      <c r="F48" s="274">
        <v>12</v>
      </c>
      <c r="G48" s="296">
        <v>1084.0833333333333</v>
      </c>
      <c r="H48" s="297"/>
      <c r="I48" s="97"/>
      <c r="J48" s="245"/>
      <c r="K48" s="97"/>
      <c r="L48" s="97"/>
      <c r="M48" s="97"/>
      <c r="N48" s="242"/>
      <c r="O48" s="95"/>
      <c r="P48" s="98" t="s">
        <v>355</v>
      </c>
      <c r="Q48" s="244"/>
      <c r="R48" s="243">
        <f>Tabela1[[#This Row],[Produzir]]/Tabela1[[#This Row],[CX]]</f>
        <v>0</v>
      </c>
      <c r="S48" s="100" t="str">
        <f>IFERROR(IF((Tabela1[[#This Row],[Produzir]])&gt;0,PRODUCT((Tabela1[[#This Row],[Produzir]])*Tabela1[[#This Row],[Volume]]),""),"")</f>
        <v/>
      </c>
      <c r="T48" s="278"/>
      <c r="U48" s="97"/>
      <c r="V48" s="95"/>
      <c r="W48" s="235">
        <v>75</v>
      </c>
      <c r="X48" s="98" t="s">
        <v>310</v>
      </c>
      <c r="Y48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8" s="250"/>
    </row>
    <row r="49" spans="1:26" ht="32.25" customHeight="1" x14ac:dyDescent="0.25">
      <c r="A49" s="6">
        <v>5337</v>
      </c>
      <c r="B49" s="270" t="s">
        <v>321</v>
      </c>
      <c r="C49" s="273" t="s">
        <v>338</v>
      </c>
      <c r="D49" s="272">
        <v>90</v>
      </c>
      <c r="E49" s="273"/>
      <c r="F49" s="274">
        <v>12</v>
      </c>
      <c r="G49" s="296">
        <v>894</v>
      </c>
      <c r="H49" s="297"/>
      <c r="I49" s="97"/>
      <c r="J49" s="245"/>
      <c r="K49" s="97"/>
      <c r="L49" s="97"/>
      <c r="M49" s="97"/>
      <c r="N49" s="242"/>
      <c r="O49" s="95"/>
      <c r="P49" s="98" t="s">
        <v>355</v>
      </c>
      <c r="Q49" s="244"/>
      <c r="R49" s="243">
        <f>Tabela1[[#This Row],[Produzir]]/Tabela1[[#This Row],[CX]]</f>
        <v>0</v>
      </c>
      <c r="S49" s="100" t="str">
        <f>IFERROR(IF((Tabela1[[#This Row],[Produzir]])&gt;0,PRODUCT((Tabela1[[#This Row],[Produzir]])*Tabela1[[#This Row],[Volume]]),""),"")</f>
        <v/>
      </c>
      <c r="T49" s="278"/>
      <c r="U49" s="97"/>
      <c r="V49" s="95"/>
      <c r="W49" s="235">
        <v>76</v>
      </c>
      <c r="X49" s="98" t="s">
        <v>310</v>
      </c>
      <c r="Y49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49" s="250"/>
    </row>
    <row r="50" spans="1:26" ht="32.25" customHeight="1" x14ac:dyDescent="0.25">
      <c r="A50" s="6">
        <v>5333</v>
      </c>
      <c r="B50" s="270" t="s">
        <v>322</v>
      </c>
      <c r="C50" s="273" t="s">
        <v>338</v>
      </c>
      <c r="D50" s="272">
        <v>90</v>
      </c>
      <c r="E50" s="273"/>
      <c r="F50" s="274">
        <v>12</v>
      </c>
      <c r="G50" s="296">
        <v>1275.0833333333333</v>
      </c>
      <c r="H50" s="297"/>
      <c r="I50" s="97"/>
      <c r="J50" s="245"/>
      <c r="K50" s="97"/>
      <c r="L50" s="97"/>
      <c r="M50" s="97"/>
      <c r="N50" s="242"/>
      <c r="O50" s="95"/>
      <c r="P50" s="98" t="s">
        <v>355</v>
      </c>
      <c r="Q50" s="244"/>
      <c r="R50" s="243">
        <f>Tabela1[[#This Row],[Produzir]]/Tabela1[[#This Row],[CX]]</f>
        <v>0</v>
      </c>
      <c r="S50" s="100" t="str">
        <f>IFERROR(IF((Tabela1[[#This Row],[Produzir]])&gt;0,PRODUCT((Tabela1[[#This Row],[Produzir]])*Tabela1[[#This Row],[Volume]]),""),"")</f>
        <v/>
      </c>
      <c r="T50" s="278"/>
      <c r="U50" s="97"/>
      <c r="V50" s="95"/>
      <c r="W50" s="235">
        <v>77</v>
      </c>
      <c r="X50" s="98" t="s">
        <v>310</v>
      </c>
      <c r="Y50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0" s="250"/>
    </row>
    <row r="51" spans="1:26" ht="32.25" customHeight="1" x14ac:dyDescent="0.25">
      <c r="A51" s="6">
        <v>5184</v>
      </c>
      <c r="B51" s="266" t="s">
        <v>323</v>
      </c>
      <c r="C51" s="93" t="s">
        <v>338</v>
      </c>
      <c r="D51" s="272">
        <v>90</v>
      </c>
      <c r="E51" s="93"/>
      <c r="F51" s="274">
        <v>12</v>
      </c>
      <c r="G51" s="296">
        <v>11256</v>
      </c>
      <c r="H51" s="297"/>
      <c r="I51" s="97"/>
      <c r="J51" s="245"/>
      <c r="K51" s="97"/>
      <c r="L51" s="97"/>
      <c r="M51" s="97"/>
      <c r="N51" s="242"/>
      <c r="O51" s="95"/>
      <c r="P51" s="98" t="s">
        <v>355</v>
      </c>
      <c r="Q51" s="244"/>
      <c r="R51" s="243">
        <f>Tabela1[[#This Row],[Produzir]]/Tabela1[[#This Row],[CX]]</f>
        <v>0</v>
      </c>
      <c r="S51" s="100" t="str">
        <f>IFERROR(IF((Tabela1[[#This Row],[Produzir]])&gt;0,PRODUCT((Tabela1[[#This Row],[Produzir]])*Tabela1[[#This Row],[Volume]]),""),"")</f>
        <v/>
      </c>
      <c r="T51" s="278"/>
      <c r="U51" s="97"/>
      <c r="V51" s="95"/>
      <c r="W51" s="235">
        <v>78</v>
      </c>
      <c r="X51" s="98" t="s">
        <v>310</v>
      </c>
      <c r="Y51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1" s="250"/>
    </row>
    <row r="52" spans="1:26" ht="32.25" customHeight="1" x14ac:dyDescent="0.25">
      <c r="A52" s="6">
        <v>5644</v>
      </c>
      <c r="B52" s="266" t="s">
        <v>324</v>
      </c>
      <c r="C52" s="93" t="s">
        <v>338</v>
      </c>
      <c r="D52" s="272">
        <v>90</v>
      </c>
      <c r="E52" s="93"/>
      <c r="F52" s="274">
        <v>12</v>
      </c>
      <c r="G52" s="296">
        <v>479</v>
      </c>
      <c r="H52" s="297"/>
      <c r="I52" s="97"/>
      <c r="J52" s="245"/>
      <c r="K52" s="97"/>
      <c r="L52" s="97"/>
      <c r="M52" s="97"/>
      <c r="N52" s="242"/>
      <c r="O52" s="95"/>
      <c r="P52" s="98" t="s">
        <v>355</v>
      </c>
      <c r="Q52" s="244"/>
      <c r="R52" s="243">
        <f>Tabela1[[#This Row],[Produzir]]/Tabela1[[#This Row],[CX]]</f>
        <v>0</v>
      </c>
      <c r="S52" s="100" t="str">
        <f>IFERROR(IF((Tabela1[[#This Row],[Produzir]])&gt;0,PRODUCT((Tabela1[[#This Row],[Produzir]])*Tabela1[[#This Row],[Volume]]),""),"")</f>
        <v/>
      </c>
      <c r="T52" s="278"/>
      <c r="U52" s="97"/>
      <c r="V52" s="95"/>
      <c r="W52" s="235">
        <v>79</v>
      </c>
      <c r="X52" s="98" t="s">
        <v>310</v>
      </c>
      <c r="Y52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2" s="250"/>
    </row>
    <row r="53" spans="1:26" ht="32.25" customHeight="1" x14ac:dyDescent="0.25">
      <c r="A53" s="6">
        <v>5334</v>
      </c>
      <c r="B53" s="266" t="s">
        <v>325</v>
      </c>
      <c r="C53" s="93" t="s">
        <v>338</v>
      </c>
      <c r="D53" s="272">
        <v>90</v>
      </c>
      <c r="E53" s="93"/>
      <c r="F53" s="274">
        <v>12</v>
      </c>
      <c r="G53" s="296">
        <v>860</v>
      </c>
      <c r="H53" s="297"/>
      <c r="I53" s="97"/>
      <c r="J53" s="245"/>
      <c r="K53" s="97"/>
      <c r="L53" s="97"/>
      <c r="M53" s="97"/>
      <c r="N53" s="242"/>
      <c r="O53" s="95"/>
      <c r="P53" s="98" t="s">
        <v>355</v>
      </c>
      <c r="Q53" s="244"/>
      <c r="R53" s="243">
        <f>Tabela1[[#This Row],[Produzir]]/Tabela1[[#This Row],[CX]]</f>
        <v>0</v>
      </c>
      <c r="S53" s="100" t="str">
        <f>IFERROR(IF((Tabela1[[#This Row],[Produzir]])&gt;0,PRODUCT((Tabela1[[#This Row],[Produzir]])*Tabela1[[#This Row],[Volume]]),""),"")</f>
        <v/>
      </c>
      <c r="T53" s="278"/>
      <c r="U53" s="97"/>
      <c r="V53" s="95"/>
      <c r="W53" s="235">
        <v>80</v>
      </c>
      <c r="X53" s="98" t="s">
        <v>310</v>
      </c>
      <c r="Y53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3" s="250"/>
    </row>
    <row r="54" spans="1:26" ht="32.25" customHeight="1" x14ac:dyDescent="0.25">
      <c r="A54" s="6">
        <v>5645</v>
      </c>
      <c r="B54" s="266" t="s">
        <v>326</v>
      </c>
      <c r="C54" s="93" t="s">
        <v>338</v>
      </c>
      <c r="D54" s="7">
        <v>90</v>
      </c>
      <c r="E54" s="93"/>
      <c r="F54" s="274">
        <v>12</v>
      </c>
      <c r="G54" s="296">
        <v>856</v>
      </c>
      <c r="H54" s="297"/>
      <c r="I54" s="97"/>
      <c r="J54" s="245"/>
      <c r="K54" s="97"/>
      <c r="L54" s="97"/>
      <c r="M54" s="97"/>
      <c r="N54" s="242"/>
      <c r="O54" s="95"/>
      <c r="P54" s="98" t="s">
        <v>355</v>
      </c>
      <c r="Q54" s="244"/>
      <c r="R54" s="243">
        <f>Tabela1[[#This Row],[Produzir]]/Tabela1[[#This Row],[CX]]</f>
        <v>0</v>
      </c>
      <c r="S54" s="100" t="str">
        <f>IFERROR(IF((Tabela1[[#This Row],[Produzir]])&gt;0,PRODUCT((Tabela1[[#This Row],[Produzir]])*Tabela1[[#This Row],[Volume]]),""),"")</f>
        <v/>
      </c>
      <c r="T54" s="278"/>
      <c r="U54" s="97"/>
      <c r="V54" s="95"/>
      <c r="W54" s="235">
        <v>81</v>
      </c>
      <c r="X54" s="98" t="s">
        <v>310</v>
      </c>
      <c r="Y54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4" s="250"/>
    </row>
    <row r="55" spans="1:26" ht="32.25" customHeight="1" x14ac:dyDescent="0.25">
      <c r="A55" s="6">
        <v>5338</v>
      </c>
      <c r="B55" s="266" t="s">
        <v>327</v>
      </c>
      <c r="C55" s="93" t="s">
        <v>338</v>
      </c>
      <c r="D55" s="7">
        <v>90</v>
      </c>
      <c r="E55" s="93"/>
      <c r="F55" s="274">
        <v>12</v>
      </c>
      <c r="G55" s="296">
        <v>1563.6666666666667</v>
      </c>
      <c r="H55" s="297"/>
      <c r="I55" s="97"/>
      <c r="J55" s="245"/>
      <c r="K55" s="97"/>
      <c r="L55" s="97"/>
      <c r="M55" s="97"/>
      <c r="N55" s="242"/>
      <c r="O55" s="95"/>
      <c r="P55" s="98" t="s">
        <v>355</v>
      </c>
      <c r="Q55" s="244"/>
      <c r="R55" s="243">
        <f>Tabela1[[#This Row],[Produzir]]/Tabela1[[#This Row],[CX]]</f>
        <v>0</v>
      </c>
      <c r="S55" s="100" t="str">
        <f>IFERROR(IF((Tabela1[[#This Row],[Produzir]])&gt;0,PRODUCT((Tabela1[[#This Row],[Produzir]])*Tabela1[[#This Row],[Volume]]),""),"")</f>
        <v/>
      </c>
      <c r="T55" s="278"/>
      <c r="U55" s="97"/>
      <c r="V55" s="95"/>
      <c r="W55" s="235">
        <v>82</v>
      </c>
      <c r="X55" s="98" t="s">
        <v>310</v>
      </c>
      <c r="Y55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5" s="250"/>
    </row>
    <row r="56" spans="1:26" ht="32.25" customHeight="1" x14ac:dyDescent="0.25">
      <c r="A56" s="6">
        <v>5335</v>
      </c>
      <c r="B56" s="266" t="s">
        <v>328</v>
      </c>
      <c r="C56" s="93" t="s">
        <v>338</v>
      </c>
      <c r="D56" s="272">
        <v>90</v>
      </c>
      <c r="E56" s="93"/>
      <c r="F56" s="274">
        <v>12</v>
      </c>
      <c r="G56" s="296">
        <v>450</v>
      </c>
      <c r="H56" s="297"/>
      <c r="I56" s="97"/>
      <c r="J56" s="245"/>
      <c r="K56" s="97"/>
      <c r="L56" s="97"/>
      <c r="M56" s="97"/>
      <c r="N56" s="242"/>
      <c r="O56" s="95"/>
      <c r="P56" s="98" t="s">
        <v>355</v>
      </c>
      <c r="Q56" s="244"/>
      <c r="R56" s="243">
        <f>Tabela1[[#This Row],[Produzir]]/Tabela1[[#This Row],[CX]]</f>
        <v>0</v>
      </c>
      <c r="S56" s="100" t="str">
        <f>IFERROR(IF((Tabela1[[#This Row],[Produzir]])&gt;0,PRODUCT((Tabela1[[#This Row],[Produzir]])*Tabela1[[#This Row],[Volume]]),""),"")</f>
        <v/>
      </c>
      <c r="T56" s="278"/>
      <c r="U56" s="97"/>
      <c r="V56" s="95"/>
      <c r="W56" s="235">
        <v>83</v>
      </c>
      <c r="X56" s="98" t="s">
        <v>310</v>
      </c>
      <c r="Y56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6" s="250"/>
    </row>
    <row r="57" spans="1:26" ht="32.25" customHeight="1" x14ac:dyDescent="0.25">
      <c r="A57" s="6">
        <v>5643</v>
      </c>
      <c r="B57" s="266" t="s">
        <v>320</v>
      </c>
      <c r="C57" s="93" t="s">
        <v>338</v>
      </c>
      <c r="D57" s="272">
        <v>90</v>
      </c>
      <c r="E57" s="93"/>
      <c r="F57" s="274">
        <v>12</v>
      </c>
      <c r="G57" s="296">
        <v>877</v>
      </c>
      <c r="H57" s="297"/>
      <c r="I57" s="97"/>
      <c r="J57" s="245"/>
      <c r="K57" s="97"/>
      <c r="L57" s="97"/>
      <c r="M57" s="97"/>
      <c r="N57" s="242"/>
      <c r="O57" s="95"/>
      <c r="P57" s="98" t="s">
        <v>355</v>
      </c>
      <c r="Q57" s="244"/>
      <c r="R57" s="243">
        <f>Tabela1[[#This Row],[Produzir]]/Tabela1[[#This Row],[CX]]</f>
        <v>0</v>
      </c>
      <c r="S57" s="100" t="str">
        <f>IFERROR(IF((Tabela1[[#This Row],[Produzir]])&gt;0,PRODUCT((Tabela1[[#This Row],[Produzir]])*Tabela1[[#This Row],[Volume]]),""),"")</f>
        <v/>
      </c>
      <c r="T57" s="278"/>
      <c r="U57" s="97"/>
      <c r="V57" s="95"/>
      <c r="W57" s="235">
        <v>84</v>
      </c>
      <c r="X57" s="98" t="s">
        <v>310</v>
      </c>
      <c r="Y57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7" s="250"/>
    </row>
    <row r="58" spans="1:26" ht="32.25" customHeight="1" x14ac:dyDescent="0.25">
      <c r="A58" s="6">
        <v>5361</v>
      </c>
      <c r="B58" s="266" t="s">
        <v>329</v>
      </c>
      <c r="C58" s="93" t="s">
        <v>337</v>
      </c>
      <c r="D58" s="7">
        <v>500</v>
      </c>
      <c r="E58" s="93"/>
      <c r="F58" s="274">
        <v>6</v>
      </c>
      <c r="G58" s="296">
        <v>1000.5</v>
      </c>
      <c r="H58" s="297"/>
      <c r="I58" s="97"/>
      <c r="J58" s="245"/>
      <c r="K58" s="97"/>
      <c r="L58" s="97"/>
      <c r="M58" s="97"/>
      <c r="N58" s="242"/>
      <c r="O58" s="95"/>
      <c r="P58" s="98" t="s">
        <v>355</v>
      </c>
      <c r="Q58" s="244"/>
      <c r="R58" s="243">
        <f>Tabela1[[#This Row],[Produzir]]/Tabela1[[#This Row],[CX]]</f>
        <v>0</v>
      </c>
      <c r="S58" s="100" t="str">
        <f>IFERROR(IF((Tabela1[[#This Row],[Produzir]])&gt;0,PRODUCT((Tabela1[[#This Row],[Produzir]])*Tabela1[[#This Row],[Volume]]),""),"")</f>
        <v/>
      </c>
      <c r="T58" s="278"/>
      <c r="U58" s="97"/>
      <c r="V58" s="95"/>
      <c r="W58" s="235">
        <v>85</v>
      </c>
      <c r="X58" s="98" t="s">
        <v>310</v>
      </c>
      <c r="Y58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8" s="250"/>
    </row>
    <row r="59" spans="1:26" ht="32.25" customHeight="1" x14ac:dyDescent="0.25">
      <c r="A59" s="6">
        <v>5362</v>
      </c>
      <c r="B59" s="266" t="s">
        <v>330</v>
      </c>
      <c r="C59" s="93" t="s">
        <v>337</v>
      </c>
      <c r="D59" s="7">
        <v>500</v>
      </c>
      <c r="E59" s="93"/>
      <c r="F59" s="274">
        <v>6</v>
      </c>
      <c r="G59" s="296">
        <v>887.08333333333337</v>
      </c>
      <c r="H59" s="297"/>
      <c r="I59" s="97"/>
      <c r="J59" s="245"/>
      <c r="K59" s="97"/>
      <c r="L59" s="97"/>
      <c r="M59" s="97"/>
      <c r="N59" s="242"/>
      <c r="O59" s="95"/>
      <c r="P59" s="98" t="s">
        <v>355</v>
      </c>
      <c r="Q59" s="244"/>
      <c r="R59" s="243">
        <f>Tabela1[[#This Row],[Produzir]]/Tabela1[[#This Row],[CX]]</f>
        <v>0</v>
      </c>
      <c r="S59" s="100" t="str">
        <f>IFERROR(IF((Tabela1[[#This Row],[Produzir]])&gt;0,PRODUCT((Tabela1[[#This Row],[Produzir]])*Tabela1[[#This Row],[Volume]]),""),"")</f>
        <v/>
      </c>
      <c r="T59" s="278"/>
      <c r="U59" s="97"/>
      <c r="V59" s="95"/>
      <c r="W59" s="235">
        <v>86</v>
      </c>
      <c r="X59" s="98" t="s">
        <v>310</v>
      </c>
      <c r="Y59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59" s="250"/>
    </row>
    <row r="60" spans="1:26" ht="32.25" customHeight="1" x14ac:dyDescent="0.25">
      <c r="A60" s="6">
        <v>5557</v>
      </c>
      <c r="B60" s="266" t="s">
        <v>331</v>
      </c>
      <c r="C60" s="93" t="s">
        <v>337</v>
      </c>
      <c r="D60" s="272">
        <v>500</v>
      </c>
      <c r="E60" s="93"/>
      <c r="F60" s="274">
        <v>6</v>
      </c>
      <c r="G60" s="296">
        <v>637</v>
      </c>
      <c r="H60" s="297"/>
      <c r="I60" s="97"/>
      <c r="J60" s="245"/>
      <c r="K60" s="97"/>
      <c r="L60" s="97"/>
      <c r="M60" s="97"/>
      <c r="N60" s="242"/>
      <c r="O60" s="95"/>
      <c r="P60" s="98" t="s">
        <v>355</v>
      </c>
      <c r="Q60" s="244"/>
      <c r="R60" s="243">
        <f>Tabela1[[#This Row],[Produzir]]/Tabela1[[#This Row],[CX]]</f>
        <v>0</v>
      </c>
      <c r="S60" s="100" t="str">
        <f>IFERROR(IF((Tabela1[[#This Row],[Produzir]])&gt;0,PRODUCT((Tabela1[[#This Row],[Produzir]])*Tabela1[[#This Row],[Volume]]),""),"")</f>
        <v/>
      </c>
      <c r="T60" s="278"/>
      <c r="U60" s="97"/>
      <c r="V60" s="95"/>
      <c r="W60" s="235">
        <v>87</v>
      </c>
      <c r="X60" s="98" t="s">
        <v>310</v>
      </c>
      <c r="Y60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0" s="250"/>
    </row>
    <row r="61" spans="1:26" ht="32.25" customHeight="1" x14ac:dyDescent="0.25">
      <c r="A61" s="6">
        <v>5363</v>
      </c>
      <c r="B61" s="266" t="s">
        <v>332</v>
      </c>
      <c r="C61" s="93" t="s">
        <v>337</v>
      </c>
      <c r="D61" s="7">
        <v>500</v>
      </c>
      <c r="E61" s="93"/>
      <c r="F61" s="274">
        <v>6</v>
      </c>
      <c r="G61" s="296">
        <v>1041.5</v>
      </c>
      <c r="H61" s="297"/>
      <c r="I61" s="97"/>
      <c r="J61" s="245"/>
      <c r="K61" s="97"/>
      <c r="L61" s="97"/>
      <c r="M61" s="97"/>
      <c r="N61" s="242"/>
      <c r="O61" s="95"/>
      <c r="P61" s="98" t="s">
        <v>355</v>
      </c>
      <c r="Q61" s="244"/>
      <c r="R61" s="243">
        <f>Tabela1[[#This Row],[Produzir]]/Tabela1[[#This Row],[CX]]</f>
        <v>0</v>
      </c>
      <c r="S61" s="100" t="str">
        <f>IFERROR(IF((Tabela1[[#This Row],[Produzir]])&gt;0,PRODUCT((Tabela1[[#This Row],[Produzir]])*Tabela1[[#This Row],[Volume]]),""),"")</f>
        <v/>
      </c>
      <c r="T61" s="278"/>
      <c r="U61" s="97"/>
      <c r="V61" s="95"/>
      <c r="W61" s="235">
        <v>88</v>
      </c>
      <c r="X61" s="98" t="s">
        <v>310</v>
      </c>
      <c r="Y61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1" s="250"/>
    </row>
    <row r="62" spans="1:26" ht="32.25" customHeight="1" x14ac:dyDescent="0.25">
      <c r="A62" s="6">
        <v>5364</v>
      </c>
      <c r="B62" s="247" t="s">
        <v>333</v>
      </c>
      <c r="C62" s="273" t="s">
        <v>337</v>
      </c>
      <c r="D62" s="7">
        <v>500</v>
      </c>
      <c r="E62" s="273"/>
      <c r="F62" s="274">
        <v>6</v>
      </c>
      <c r="G62" s="296">
        <v>1048.5</v>
      </c>
      <c r="H62" s="297"/>
      <c r="I62" s="97"/>
      <c r="J62" s="245"/>
      <c r="K62" s="97"/>
      <c r="L62" s="97"/>
      <c r="M62" s="97"/>
      <c r="N62" s="242"/>
      <c r="O62" s="95"/>
      <c r="P62" s="98" t="s">
        <v>355</v>
      </c>
      <c r="Q62" s="244"/>
      <c r="R62" s="243">
        <f>Tabela1[[#This Row],[Produzir]]/Tabela1[[#This Row],[CX]]</f>
        <v>0</v>
      </c>
      <c r="S62" s="100" t="str">
        <f>IFERROR(IF((Tabela1[[#This Row],[Produzir]])&gt;0,PRODUCT((Tabela1[[#This Row],[Produzir]])*Tabela1[[#This Row],[Volume]]),""),"")</f>
        <v/>
      </c>
      <c r="T62" s="278"/>
      <c r="U62" s="97"/>
      <c r="V62" s="95"/>
      <c r="W62" s="235">
        <v>89</v>
      </c>
      <c r="X62" s="98" t="s">
        <v>310</v>
      </c>
      <c r="Y62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2" s="250"/>
    </row>
    <row r="63" spans="1:26" ht="32.25" customHeight="1" x14ac:dyDescent="0.25">
      <c r="A63" s="6">
        <v>5301</v>
      </c>
      <c r="B63" s="247" t="s">
        <v>334</v>
      </c>
      <c r="C63" s="273" t="s">
        <v>337</v>
      </c>
      <c r="D63" s="7">
        <v>90</v>
      </c>
      <c r="E63" s="273"/>
      <c r="F63" s="274">
        <v>12</v>
      </c>
      <c r="G63" s="296">
        <v>1340.5</v>
      </c>
      <c r="H63" s="297"/>
      <c r="I63" s="97"/>
      <c r="J63" s="245"/>
      <c r="K63" s="97"/>
      <c r="L63" s="97"/>
      <c r="M63" s="97"/>
      <c r="N63" s="242"/>
      <c r="O63" s="95"/>
      <c r="P63" s="98" t="s">
        <v>355</v>
      </c>
      <c r="Q63" s="244"/>
      <c r="R63" s="243">
        <f>Tabela1[[#This Row],[Produzir]]/Tabela1[[#This Row],[CX]]</f>
        <v>0</v>
      </c>
      <c r="S63" s="100" t="str">
        <f>IFERROR(IF((Tabela1[[#This Row],[Produzir]])&gt;0,PRODUCT((Tabela1[[#This Row],[Produzir]])*Tabela1[[#This Row],[Volume]]),""),"")</f>
        <v/>
      </c>
      <c r="T63" s="278"/>
      <c r="U63" s="97"/>
      <c r="V63" s="95"/>
      <c r="W63" s="235">
        <v>90</v>
      </c>
      <c r="X63" s="98" t="s">
        <v>310</v>
      </c>
      <c r="Y63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3" s="250"/>
    </row>
    <row r="64" spans="1:26" ht="32.25" customHeight="1" x14ac:dyDescent="0.25">
      <c r="A64" s="6">
        <v>5319</v>
      </c>
      <c r="B64" s="247" t="s">
        <v>407</v>
      </c>
      <c r="C64" s="273" t="s">
        <v>337</v>
      </c>
      <c r="D64" s="7">
        <v>120</v>
      </c>
      <c r="E64" s="273"/>
      <c r="F64" s="274">
        <v>6</v>
      </c>
      <c r="G64" s="296">
        <v>476</v>
      </c>
      <c r="H64" s="297"/>
      <c r="I64" s="97"/>
      <c r="J64" s="245"/>
      <c r="K64" s="97"/>
      <c r="L64" s="97"/>
      <c r="M64" s="97"/>
      <c r="N64" s="242"/>
      <c r="O64" s="95"/>
      <c r="P64" s="98" t="s">
        <v>355</v>
      </c>
      <c r="Q64" s="244"/>
      <c r="R64" s="243">
        <f>Tabela1[[#This Row],[Produzir]]/Tabela1[[#This Row],[CX]]</f>
        <v>0</v>
      </c>
      <c r="S64" s="100" t="str">
        <f>IFERROR(IF((Tabela1[[#This Row],[Produzir]])&gt;0,PRODUCT((Tabela1[[#This Row],[Produzir]])*Tabela1[[#This Row],[Volume]]),""),"")</f>
        <v/>
      </c>
      <c r="T64" s="278"/>
      <c r="U64" s="97"/>
      <c r="V64" s="95"/>
      <c r="W64" s="235">
        <v>91</v>
      </c>
      <c r="X64" s="98" t="s">
        <v>310</v>
      </c>
      <c r="Y64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4" s="250"/>
    </row>
    <row r="65" spans="1:26" ht="32.25" customHeight="1" x14ac:dyDescent="0.25">
      <c r="A65" s="6">
        <v>5950</v>
      </c>
      <c r="B65" s="247" t="s">
        <v>335</v>
      </c>
      <c r="C65" s="273" t="s">
        <v>337</v>
      </c>
      <c r="D65" s="7">
        <v>70</v>
      </c>
      <c r="E65" s="273"/>
      <c r="F65" s="274">
        <v>12</v>
      </c>
      <c r="G65" s="296">
        <v>2414</v>
      </c>
      <c r="H65" s="297"/>
      <c r="I65" s="97"/>
      <c r="J65" s="245"/>
      <c r="K65" s="97"/>
      <c r="L65" s="97"/>
      <c r="M65" s="97"/>
      <c r="N65" s="242"/>
      <c r="O65" s="95"/>
      <c r="P65" s="98" t="s">
        <v>355</v>
      </c>
      <c r="Q65" s="244"/>
      <c r="R65" s="243">
        <f>Tabela1[[#This Row],[Produzir]]/Tabela1[[#This Row],[CX]]</f>
        <v>0</v>
      </c>
      <c r="S65" s="100" t="str">
        <f>IFERROR(IF((Tabela1[[#This Row],[Produzir]])&gt;0,PRODUCT((Tabela1[[#This Row],[Produzir]])*Tabela1[[#This Row],[Volume]]),""),"")</f>
        <v/>
      </c>
      <c r="T65" s="278"/>
      <c r="U65" s="97"/>
      <c r="V65" s="95"/>
      <c r="W65" s="235">
        <v>92</v>
      </c>
      <c r="X65" s="98" t="s">
        <v>310</v>
      </c>
      <c r="Y65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5" s="250"/>
    </row>
    <row r="66" spans="1:26" ht="32.25" customHeight="1" x14ac:dyDescent="0.25">
      <c r="A66" s="6">
        <v>5356</v>
      </c>
      <c r="B66" s="247" t="s">
        <v>363</v>
      </c>
      <c r="C66" s="273" t="s">
        <v>362</v>
      </c>
      <c r="D66" s="7"/>
      <c r="E66" s="273"/>
      <c r="F66" s="274">
        <v>12</v>
      </c>
      <c r="G66" s="298">
        <v>1238</v>
      </c>
      <c r="H66" s="297"/>
      <c r="I66" s="97"/>
      <c r="J66" s="245"/>
      <c r="K66" s="97"/>
      <c r="L66" s="97"/>
      <c r="M66" s="97"/>
      <c r="N66" s="242"/>
      <c r="O66" s="95"/>
      <c r="P66" s="98" t="s">
        <v>355</v>
      </c>
      <c r="Q66" s="244"/>
      <c r="R66" s="243">
        <f>Tabela1[[#This Row],[Produzir]]/Tabela1[[#This Row],[CX]]</f>
        <v>0</v>
      </c>
      <c r="S66" s="100" t="str">
        <f>IFERROR(IF((Tabela1[[#This Row],[Produzir]])&gt;0,PRODUCT((Tabela1[[#This Row],[Produzir]])*Tabela1[[#This Row],[Volume]]),""),"")</f>
        <v/>
      </c>
      <c r="T66" s="278"/>
      <c r="U66" s="97"/>
      <c r="V66" s="95"/>
      <c r="W66" s="235">
        <v>93</v>
      </c>
      <c r="X66" s="98" t="s">
        <v>310</v>
      </c>
      <c r="Y66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6" s="250"/>
    </row>
    <row r="67" spans="1:26" ht="32.25" customHeight="1" x14ac:dyDescent="0.25">
      <c r="A67" s="6">
        <v>5930</v>
      </c>
      <c r="B67" s="247" t="s">
        <v>348</v>
      </c>
      <c r="C67" s="273" t="s">
        <v>354</v>
      </c>
      <c r="D67" s="7">
        <v>50</v>
      </c>
      <c r="E67" s="273"/>
      <c r="F67" s="273">
        <v>12</v>
      </c>
      <c r="G67" s="298">
        <v>608.33333333333337</v>
      </c>
      <c r="H67" s="297"/>
      <c r="I67" s="97"/>
      <c r="J67" s="245"/>
      <c r="K67" s="97"/>
      <c r="L67" s="97"/>
      <c r="M67" s="97"/>
      <c r="N67" s="242"/>
      <c r="O67" s="95"/>
      <c r="P67" s="97" t="s">
        <v>355</v>
      </c>
      <c r="Q67" s="244"/>
      <c r="R67" s="243">
        <f>Tabela1[[#This Row],[Produzir]]/Tabela1[[#This Row],[CX]]</f>
        <v>0</v>
      </c>
      <c r="S67" s="100" t="str">
        <f>IFERROR(IF((Tabela1[[#This Row],[Produzir]])&gt;0,PRODUCT((Tabela1[[#This Row],[Produzir]])*Tabela1[[#This Row],[Volume]]),""),"")</f>
        <v/>
      </c>
      <c r="T67" s="278">
        <f>Tabela1[[#This Row],[ML]]/1000</f>
        <v>0.05</v>
      </c>
      <c r="U67" s="97"/>
      <c r="V67" s="95"/>
      <c r="W67" s="235">
        <v>94</v>
      </c>
      <c r="X67" s="98" t="s">
        <v>310</v>
      </c>
      <c r="Y67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7" s="250"/>
    </row>
    <row r="68" spans="1:26" ht="32.25" customHeight="1" x14ac:dyDescent="0.25">
      <c r="A68" s="6">
        <v>5931</v>
      </c>
      <c r="B68" s="247" t="s">
        <v>349</v>
      </c>
      <c r="C68" s="91" t="s">
        <v>354</v>
      </c>
      <c r="D68" s="7">
        <v>50</v>
      </c>
      <c r="E68" s="91"/>
      <c r="F68" s="273">
        <v>12</v>
      </c>
      <c r="G68" s="298">
        <v>135.5</v>
      </c>
      <c r="H68" s="297"/>
      <c r="I68" s="97"/>
      <c r="J68" s="245"/>
      <c r="K68" s="97"/>
      <c r="L68" s="97"/>
      <c r="M68" s="97"/>
      <c r="N68" s="242"/>
      <c r="O68" s="95"/>
      <c r="P68" s="97" t="s">
        <v>355</v>
      </c>
      <c r="Q68" s="244"/>
      <c r="R68" s="243">
        <f>Tabela1[[#This Row],[Produzir]]/Tabela1[[#This Row],[CX]]</f>
        <v>0</v>
      </c>
      <c r="S68" s="100" t="str">
        <f>IFERROR(IF((Tabela1[[#This Row],[Produzir]])&gt;0,PRODUCT((Tabela1[[#This Row],[Produzir]])*Tabela1[[#This Row],[Volume]]),""),"")</f>
        <v/>
      </c>
      <c r="T68" s="278">
        <f>Tabela1[[#This Row],[ML]]/1000</f>
        <v>0.05</v>
      </c>
      <c r="U68" s="97"/>
      <c r="V68" s="95"/>
      <c r="W68" s="235">
        <v>95</v>
      </c>
      <c r="X68" s="98" t="s">
        <v>310</v>
      </c>
      <c r="Y68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8" s="250"/>
    </row>
    <row r="69" spans="1:26" ht="32.25" customHeight="1" x14ac:dyDescent="0.25">
      <c r="A69" s="6">
        <v>5926</v>
      </c>
      <c r="B69" s="247" t="s">
        <v>350</v>
      </c>
      <c r="C69" s="273" t="s">
        <v>354</v>
      </c>
      <c r="D69" s="7">
        <v>240</v>
      </c>
      <c r="E69" s="273"/>
      <c r="F69" s="273">
        <v>12</v>
      </c>
      <c r="G69" s="298">
        <v>654</v>
      </c>
      <c r="H69" s="297"/>
      <c r="I69" s="97"/>
      <c r="J69" s="245"/>
      <c r="K69" s="97"/>
      <c r="L69" s="97"/>
      <c r="M69" s="97"/>
      <c r="N69" s="242"/>
      <c r="O69" s="95"/>
      <c r="P69" s="97" t="s">
        <v>355</v>
      </c>
      <c r="Q69" s="244"/>
      <c r="R69" s="243">
        <f>Tabela1[[#This Row],[Produzir]]/Tabela1[[#This Row],[CX]]</f>
        <v>0</v>
      </c>
      <c r="S69" s="100" t="str">
        <f>IFERROR(IF((Tabela1[[#This Row],[Produzir]])&gt;0,PRODUCT((Tabela1[[#This Row],[Produzir]])*Tabela1[[#This Row],[Volume]]),""),"")</f>
        <v/>
      </c>
      <c r="T69" s="278">
        <f>Tabela1[[#This Row],[ML]]/1000</f>
        <v>0.24</v>
      </c>
      <c r="U69" s="97"/>
      <c r="V69" s="95"/>
      <c r="W69" s="235">
        <v>96</v>
      </c>
      <c r="X69" s="98" t="s">
        <v>310</v>
      </c>
      <c r="Y69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69" s="250"/>
    </row>
    <row r="70" spans="1:26" ht="32.25" customHeight="1" x14ac:dyDescent="0.25">
      <c r="A70" s="6">
        <v>5925</v>
      </c>
      <c r="B70" s="247" t="s">
        <v>352</v>
      </c>
      <c r="C70" s="273" t="s">
        <v>354</v>
      </c>
      <c r="D70" s="7">
        <v>100</v>
      </c>
      <c r="E70" s="273"/>
      <c r="F70" s="273">
        <v>12</v>
      </c>
      <c r="G70" s="298">
        <v>562</v>
      </c>
      <c r="H70" s="297"/>
      <c r="I70" s="97"/>
      <c r="J70" s="245"/>
      <c r="K70" s="97"/>
      <c r="L70" s="97"/>
      <c r="M70" s="97"/>
      <c r="N70" s="242"/>
      <c r="O70" s="95"/>
      <c r="P70" s="98" t="s">
        <v>355</v>
      </c>
      <c r="Q70" s="244"/>
      <c r="R70" s="243">
        <f>Tabela1[[#This Row],[Produzir]]/Tabela1[[#This Row],[CX]]</f>
        <v>0</v>
      </c>
      <c r="S70" s="100" t="str">
        <f>IFERROR(IF((Tabela1[[#This Row],[Produzir]])&gt;0,PRODUCT((Tabela1[[#This Row],[Produzir]])*Tabela1[[#This Row],[Volume]]),""),"")</f>
        <v/>
      </c>
      <c r="T70" s="278">
        <f>Tabela1[[#This Row],[ML]]/1000</f>
        <v>0.1</v>
      </c>
      <c r="U70" s="97"/>
      <c r="V70" s="95"/>
      <c r="W70" s="235">
        <v>97</v>
      </c>
      <c r="X70" s="98" t="s">
        <v>310</v>
      </c>
      <c r="Y70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70" s="250"/>
    </row>
    <row r="71" spans="1:26" ht="32.25" customHeight="1" x14ac:dyDescent="0.25">
      <c r="A71" s="6">
        <v>5921</v>
      </c>
      <c r="B71" s="247" t="s">
        <v>351</v>
      </c>
      <c r="C71" s="273" t="s">
        <v>354</v>
      </c>
      <c r="D71" s="7">
        <v>240</v>
      </c>
      <c r="E71" s="273"/>
      <c r="F71" s="273">
        <v>12</v>
      </c>
      <c r="G71" s="298">
        <v>460.66666666666669</v>
      </c>
      <c r="H71" s="297"/>
      <c r="I71" s="97"/>
      <c r="J71" s="245"/>
      <c r="K71" s="97"/>
      <c r="L71" s="97"/>
      <c r="M71" s="97"/>
      <c r="N71" s="242"/>
      <c r="O71" s="95"/>
      <c r="P71" s="97" t="s">
        <v>355</v>
      </c>
      <c r="Q71" s="244"/>
      <c r="R71" s="243">
        <f>Tabela1[[#This Row],[Produzir]]/Tabela1[[#This Row],[CX]]</f>
        <v>0</v>
      </c>
      <c r="S71" s="100" t="str">
        <f>IFERROR(IF((Tabela1[[#This Row],[Produzir]])&gt;0,PRODUCT((Tabela1[[#This Row],[Produzir]])*Tabela1[[#This Row],[Volume]]),""),"")</f>
        <v/>
      </c>
      <c r="T71" s="278">
        <f>Tabela1[[#This Row],[ML]]/1000</f>
        <v>0.24</v>
      </c>
      <c r="U71" s="97"/>
      <c r="V71" s="95"/>
      <c r="W71" s="235">
        <v>98</v>
      </c>
      <c r="X71" s="98" t="s">
        <v>310</v>
      </c>
      <c r="Y71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71" s="250"/>
    </row>
    <row r="72" spans="1:26" ht="32.25" customHeight="1" thickBot="1" x14ac:dyDescent="0.3">
      <c r="A72" s="6">
        <v>5920</v>
      </c>
      <c r="B72" s="247" t="s">
        <v>353</v>
      </c>
      <c r="C72" s="91" t="s">
        <v>354</v>
      </c>
      <c r="D72" s="7">
        <v>100</v>
      </c>
      <c r="E72" s="91"/>
      <c r="F72" s="273">
        <v>12</v>
      </c>
      <c r="G72" s="300">
        <v>971.5</v>
      </c>
      <c r="H72" s="301"/>
      <c r="I72" s="97"/>
      <c r="J72" s="245"/>
      <c r="K72" s="97"/>
      <c r="L72" s="97"/>
      <c r="M72" s="97"/>
      <c r="N72" s="242"/>
      <c r="O72" s="95"/>
      <c r="P72" s="98" t="s">
        <v>355</v>
      </c>
      <c r="Q72" s="244"/>
      <c r="R72" s="243">
        <f>Tabela1[[#This Row],[Produzir]]/Tabela1[[#This Row],[CX]]</f>
        <v>0</v>
      </c>
      <c r="S72" s="100" t="str">
        <f>IFERROR(IF((Tabela1[[#This Row],[Produzir]])&gt;0,PRODUCT((Tabela1[[#This Row],[Produzir]])*Tabela1[[#This Row],[Volume]]),""),"")</f>
        <v/>
      </c>
      <c r="T72" s="278">
        <f>Tabela1[[#This Row],[ML]]/1000</f>
        <v>0.1</v>
      </c>
      <c r="U72" s="97"/>
      <c r="V72" s="95"/>
      <c r="W72" s="235">
        <v>99</v>
      </c>
      <c r="X72" s="98" t="s">
        <v>310</v>
      </c>
      <c r="Y72" s="295" t="str">
        <f>IF(Tabela1[[#This Row],[CURVA]]="AA",Tabela1[[#This Row],[Média de Venda 2025]]/3,IF(Tabela1[[#This Row],[CURVA]]="AB",Tabela1[[#This Row],[Média de Venda 2025]]/2,IF(Tabela1[[#This Row],[CURVA]]="AC",Tabela1[[#This Row],[Média de Venda 2025]],"")))</f>
        <v/>
      </c>
      <c r="Z72" s="250"/>
    </row>
    <row r="73" spans="1:26" ht="32.25" customHeight="1" x14ac:dyDescent="0.25">
      <c r="A73" s="92"/>
      <c r="B73" s="267"/>
      <c r="C73" s="94"/>
      <c r="D73" s="237"/>
      <c r="E73" s="94"/>
      <c r="F73" s="96"/>
      <c r="G73" s="246">
        <f>SUBTOTAL(9,Tabela1[Média de Venda 2025])</f>
        <v>1867448.2499999998</v>
      </c>
      <c r="H73" s="92"/>
      <c r="I73" s="271"/>
      <c r="J73" s="240"/>
      <c r="K73" s="241"/>
      <c r="L73" s="239"/>
      <c r="M73" s="281">
        <f>SUBTOTAL(9,Tabela1[[#Headers],[#Data],[Produzir]])</f>
        <v>0</v>
      </c>
      <c r="N73" s="325"/>
      <c r="O73" s="326"/>
      <c r="P73" s="281"/>
      <c r="Q73" s="327"/>
      <c r="R73" s="328"/>
      <c r="S73" s="100">
        <f>SUBTOTAL(9,Tabela1[[#Headers],[#Data],[Necessidade S.A]])</f>
        <v>0</v>
      </c>
      <c r="T73" s="280"/>
      <c r="U73" s="241"/>
      <c r="V73" s="6"/>
      <c r="W73" s="234"/>
      <c r="X73" s="92"/>
      <c r="Y73" s="246">
        <f>SUBTOTAL(9,Y3:Y72)</f>
        <v>825559.76388888888</v>
      </c>
      <c r="Z73" s="250"/>
    </row>
  </sheetData>
  <conditionalFormatting sqref="L38:L53 L56:L72 M74:M1048576 L3:L27 L29:L36">
    <cfRule type="cellIs" dxfId="119" priority="14" operator="lessThan">
      <formula>0.00000000001</formula>
    </cfRule>
  </conditionalFormatting>
  <conditionalFormatting sqref="M74:M1048576">
    <cfRule type="cellIs" dxfId="118" priority="13" operator="equal">
      <formula>"PRODUZIR"</formula>
    </cfRule>
  </conditionalFormatting>
  <conditionalFormatting sqref="L54:L55">
    <cfRule type="cellIs" dxfId="117" priority="12" operator="lessThan">
      <formula>0.00000000001</formula>
    </cfRule>
  </conditionalFormatting>
  <conditionalFormatting sqref="S74:S1048576 R38:R72 R1:R27 R29:R36">
    <cfRule type="cellIs" dxfId="116" priority="9" operator="lessThan">
      <formula>0</formula>
    </cfRule>
  </conditionalFormatting>
  <conditionalFormatting sqref="L37">
    <cfRule type="cellIs" dxfId="115" priority="7" operator="lessThan">
      <formula>0.00000000001</formula>
    </cfRule>
  </conditionalFormatting>
  <conditionalFormatting sqref="R37">
    <cfRule type="cellIs" dxfId="114" priority="5" operator="lessThan">
      <formula>0</formula>
    </cfRule>
  </conditionalFormatting>
  <conditionalFormatting sqref="L28">
    <cfRule type="cellIs" dxfId="113" priority="2" operator="lessThan">
      <formula>0.00000000001</formula>
    </cfRule>
  </conditionalFormatting>
  <conditionalFormatting sqref="R28">
    <cfRule type="cellIs" dxfId="112" priority="1" operator="lessThan">
      <formula>0</formula>
    </cfRule>
  </conditionalFormatting>
  <pageMargins left="0.23" right="0.31" top="0.25" bottom="0.24" header="0.2" footer="0.12"/>
  <pageSetup paperSize="9" orientation="portrait" r:id="rId1"/>
  <ignoredErrors>
    <ignoredError sqref="F29:F72 F3:F27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2:E164"/>
  <sheetViews>
    <sheetView workbookViewId="0">
      <selection sqref="A1:XFD1048576"/>
    </sheetView>
  </sheetViews>
  <sheetFormatPr defaultRowHeight="15" x14ac:dyDescent="0.25"/>
  <cols>
    <col min="2" max="2" width="9.42578125" bestFit="1" customWidth="1"/>
    <col min="3" max="3" width="10.85546875" bestFit="1" customWidth="1"/>
    <col min="4" max="4" width="69.5703125" bestFit="1" customWidth="1"/>
    <col min="5" max="5" width="10.42578125" bestFit="1" customWidth="1"/>
  </cols>
  <sheetData>
    <row r="2" spans="2:5" x14ac:dyDescent="0.25">
      <c r="B2" s="283" t="s">
        <v>0</v>
      </c>
      <c r="C2" s="269" t="s">
        <v>102</v>
      </c>
      <c r="D2" s="269" t="s">
        <v>1</v>
      </c>
      <c r="E2" s="269" t="s">
        <v>356</v>
      </c>
    </row>
    <row r="3" spans="2:5" x14ac:dyDescent="0.25">
      <c r="B3" s="284">
        <v>6</v>
      </c>
      <c r="C3" s="268">
        <v>5274</v>
      </c>
      <c r="D3" s="18" t="s">
        <v>10</v>
      </c>
      <c r="E3" s="284">
        <v>6</v>
      </c>
    </row>
    <row r="4" spans="2:5" x14ac:dyDescent="0.25">
      <c r="B4" s="285"/>
      <c r="C4" s="16"/>
      <c r="D4" s="248" t="s">
        <v>126</v>
      </c>
      <c r="E4" s="285">
        <v>5274</v>
      </c>
    </row>
    <row r="5" spans="2:5" x14ac:dyDescent="0.25">
      <c r="B5" s="284">
        <v>7</v>
      </c>
      <c r="C5" s="268">
        <v>5275</v>
      </c>
      <c r="D5" s="18" t="s">
        <v>18</v>
      </c>
      <c r="E5" s="284">
        <v>7</v>
      </c>
    </row>
    <row r="6" spans="2:5" x14ac:dyDescent="0.25">
      <c r="B6" s="285"/>
      <c r="C6" s="16"/>
      <c r="D6" s="248" t="s">
        <v>127</v>
      </c>
      <c r="E6" s="285">
        <v>5275</v>
      </c>
    </row>
    <row r="7" spans="2:5" x14ac:dyDescent="0.25">
      <c r="B7" s="284">
        <v>5</v>
      </c>
      <c r="C7" s="268">
        <v>5273</v>
      </c>
      <c r="D7" s="18" t="s">
        <v>2</v>
      </c>
      <c r="E7" s="284">
        <v>5</v>
      </c>
    </row>
    <row r="8" spans="2:5" x14ac:dyDescent="0.25">
      <c r="B8" s="285"/>
      <c r="C8" s="16"/>
      <c r="D8" s="248" t="s">
        <v>340</v>
      </c>
      <c r="E8" s="285">
        <v>5273</v>
      </c>
    </row>
    <row r="9" spans="2:5" x14ac:dyDescent="0.25">
      <c r="B9" s="284">
        <v>11</v>
      </c>
      <c r="C9" s="268">
        <v>5640</v>
      </c>
      <c r="D9" s="18" t="s">
        <v>103</v>
      </c>
      <c r="E9" s="284">
        <v>11</v>
      </c>
    </row>
    <row r="10" spans="2:5" x14ac:dyDescent="0.25">
      <c r="B10" s="285"/>
      <c r="C10" s="16"/>
      <c r="D10" s="248" t="s">
        <v>128</v>
      </c>
      <c r="E10" s="285">
        <v>5640</v>
      </c>
    </row>
    <row r="11" spans="2:5" x14ac:dyDescent="0.25">
      <c r="B11" s="284">
        <v>9</v>
      </c>
      <c r="C11" s="268">
        <v>5277</v>
      </c>
      <c r="D11" s="18" t="s">
        <v>11</v>
      </c>
      <c r="E11" s="284">
        <v>9</v>
      </c>
    </row>
    <row r="12" spans="2:5" x14ac:dyDescent="0.25">
      <c r="B12" s="285"/>
      <c r="C12" s="16"/>
      <c r="D12" s="248" t="s">
        <v>129</v>
      </c>
      <c r="E12" s="285">
        <v>5277</v>
      </c>
    </row>
    <row r="13" spans="2:5" x14ac:dyDescent="0.25">
      <c r="B13" s="284">
        <v>10</v>
      </c>
      <c r="C13" s="268">
        <v>5278</v>
      </c>
      <c r="D13" s="18" t="s">
        <v>19</v>
      </c>
      <c r="E13" s="284">
        <v>10</v>
      </c>
    </row>
    <row r="14" spans="2:5" x14ac:dyDescent="0.25">
      <c r="B14" s="285"/>
      <c r="C14" s="16"/>
      <c r="D14" s="248" t="s">
        <v>130</v>
      </c>
      <c r="E14" s="285">
        <v>5278</v>
      </c>
    </row>
    <row r="15" spans="2:5" x14ac:dyDescent="0.25">
      <c r="B15" s="284">
        <v>8</v>
      </c>
      <c r="C15" s="268">
        <v>5344</v>
      </c>
      <c r="D15" s="18" t="s">
        <v>3</v>
      </c>
      <c r="E15" s="284">
        <v>8</v>
      </c>
    </row>
    <row r="16" spans="2:5" x14ac:dyDescent="0.25">
      <c r="B16" s="285"/>
      <c r="C16" s="16"/>
      <c r="D16" s="248" t="s">
        <v>341</v>
      </c>
      <c r="E16" s="285">
        <v>5344</v>
      </c>
    </row>
    <row r="17" spans="2:5" x14ac:dyDescent="0.25">
      <c r="B17" s="284">
        <v>15</v>
      </c>
      <c r="C17" s="268">
        <v>5641</v>
      </c>
      <c r="D17" s="18" t="s">
        <v>104</v>
      </c>
      <c r="E17" s="284">
        <v>15</v>
      </c>
    </row>
    <row r="18" spans="2:5" x14ac:dyDescent="0.25">
      <c r="B18" s="285"/>
      <c r="C18" s="16"/>
      <c r="D18" s="248" t="s">
        <v>131</v>
      </c>
      <c r="E18" s="285">
        <v>5641</v>
      </c>
    </row>
    <row r="19" spans="2:5" x14ac:dyDescent="0.25">
      <c r="B19" s="284">
        <v>13</v>
      </c>
      <c r="C19" s="268">
        <v>5280</v>
      </c>
      <c r="D19" s="18" t="s">
        <v>12</v>
      </c>
      <c r="E19" s="284">
        <v>13</v>
      </c>
    </row>
    <row r="20" spans="2:5" x14ac:dyDescent="0.25">
      <c r="B20" s="285"/>
      <c r="C20" s="16"/>
      <c r="D20" s="248" t="s">
        <v>132</v>
      </c>
      <c r="E20" s="285">
        <v>5280</v>
      </c>
    </row>
    <row r="21" spans="2:5" x14ac:dyDescent="0.25">
      <c r="B21" s="284">
        <v>14</v>
      </c>
      <c r="C21" s="268">
        <v>5281</v>
      </c>
      <c r="D21" s="18" t="s">
        <v>20</v>
      </c>
      <c r="E21" s="284">
        <v>14</v>
      </c>
    </row>
    <row r="22" spans="2:5" x14ac:dyDescent="0.25">
      <c r="B22" s="285"/>
      <c r="C22" s="16"/>
      <c r="D22" s="248" t="s">
        <v>133</v>
      </c>
      <c r="E22" s="285">
        <v>5281</v>
      </c>
    </row>
    <row r="23" spans="2:5" x14ac:dyDescent="0.25">
      <c r="B23" s="284">
        <v>12</v>
      </c>
      <c r="C23" s="268">
        <v>5345</v>
      </c>
      <c r="D23" s="18" t="s">
        <v>4</v>
      </c>
      <c r="E23" s="284">
        <v>12</v>
      </c>
    </row>
    <row r="24" spans="2:5" x14ac:dyDescent="0.25">
      <c r="B24" s="285"/>
      <c r="C24" s="16"/>
      <c r="D24" s="248" t="s">
        <v>342</v>
      </c>
      <c r="E24" s="285">
        <v>5345</v>
      </c>
    </row>
    <row r="25" spans="2:5" x14ac:dyDescent="0.25">
      <c r="B25" s="284">
        <v>19</v>
      </c>
      <c r="C25" s="268">
        <v>5642</v>
      </c>
      <c r="D25" s="18" t="s">
        <v>105</v>
      </c>
      <c r="E25" s="284">
        <v>19</v>
      </c>
    </row>
    <row r="26" spans="2:5" x14ac:dyDescent="0.25">
      <c r="B26" s="285"/>
      <c r="C26" s="16"/>
      <c r="D26" s="248" t="s">
        <v>134</v>
      </c>
      <c r="E26" s="285">
        <v>5642</v>
      </c>
    </row>
    <row r="27" spans="2:5" x14ac:dyDescent="0.25">
      <c r="B27" s="284">
        <v>17</v>
      </c>
      <c r="C27" s="268">
        <v>5283</v>
      </c>
      <c r="D27" s="18" t="s">
        <v>13</v>
      </c>
      <c r="E27" s="284">
        <v>17</v>
      </c>
    </row>
    <row r="28" spans="2:5" x14ac:dyDescent="0.25">
      <c r="B28" s="285"/>
      <c r="C28" s="16"/>
      <c r="D28" s="248" t="s">
        <v>135</v>
      </c>
      <c r="E28" s="285">
        <v>5283</v>
      </c>
    </row>
    <row r="29" spans="2:5" x14ac:dyDescent="0.25">
      <c r="B29" s="284">
        <v>18</v>
      </c>
      <c r="C29" s="268">
        <v>5284</v>
      </c>
      <c r="D29" s="18" t="s">
        <v>21</v>
      </c>
      <c r="E29" s="284">
        <v>18</v>
      </c>
    </row>
    <row r="30" spans="2:5" x14ac:dyDescent="0.25">
      <c r="B30" s="285"/>
      <c r="C30" s="16"/>
      <c r="D30" s="248" t="s">
        <v>136</v>
      </c>
      <c r="E30" s="285">
        <v>5284</v>
      </c>
    </row>
    <row r="31" spans="2:5" x14ac:dyDescent="0.25">
      <c r="B31" s="284">
        <v>16</v>
      </c>
      <c r="C31" s="268">
        <v>5346</v>
      </c>
      <c r="D31" s="18" t="s">
        <v>5</v>
      </c>
      <c r="E31" s="284">
        <v>16</v>
      </c>
    </row>
    <row r="32" spans="2:5" x14ac:dyDescent="0.25">
      <c r="B32" s="285"/>
      <c r="C32" s="16"/>
      <c r="D32" s="248" t="s">
        <v>343</v>
      </c>
      <c r="E32" s="285">
        <v>5346</v>
      </c>
    </row>
    <row r="33" spans="2:5" x14ac:dyDescent="0.25">
      <c r="B33" s="284">
        <v>21</v>
      </c>
      <c r="C33" s="268">
        <v>5286</v>
      </c>
      <c r="D33" s="18" t="s">
        <v>14</v>
      </c>
      <c r="E33" s="284">
        <v>21</v>
      </c>
    </row>
    <row r="34" spans="2:5" x14ac:dyDescent="0.25">
      <c r="B34" s="285"/>
      <c r="C34" s="16"/>
      <c r="D34" s="248" t="s">
        <v>137</v>
      </c>
      <c r="E34" s="285">
        <v>5286</v>
      </c>
    </row>
    <row r="35" spans="2:5" x14ac:dyDescent="0.25">
      <c r="B35" s="284">
        <v>22</v>
      </c>
      <c r="C35" s="268">
        <v>5287</v>
      </c>
      <c r="D35" s="18" t="s">
        <v>22</v>
      </c>
      <c r="E35" s="284">
        <v>22</v>
      </c>
    </row>
    <row r="36" spans="2:5" x14ac:dyDescent="0.25">
      <c r="B36" s="285"/>
      <c r="C36" s="16"/>
      <c r="D36" s="248" t="s">
        <v>138</v>
      </c>
      <c r="E36" s="285">
        <v>5287</v>
      </c>
    </row>
    <row r="37" spans="2:5" x14ac:dyDescent="0.25">
      <c r="B37" s="284">
        <v>20</v>
      </c>
      <c r="C37" s="268">
        <v>5285</v>
      </c>
      <c r="D37" s="18" t="s">
        <v>6</v>
      </c>
      <c r="E37" s="284">
        <v>20</v>
      </c>
    </row>
    <row r="38" spans="2:5" x14ac:dyDescent="0.25">
      <c r="B38" s="285"/>
      <c r="C38" s="16"/>
      <c r="D38" s="248" t="s">
        <v>377</v>
      </c>
      <c r="E38" s="285">
        <v>5285</v>
      </c>
    </row>
    <row r="39" spans="2:5" x14ac:dyDescent="0.25">
      <c r="B39" s="284">
        <v>24</v>
      </c>
      <c r="C39" s="268">
        <v>5289</v>
      </c>
      <c r="D39" s="18" t="s">
        <v>15</v>
      </c>
      <c r="E39" s="284">
        <v>24</v>
      </c>
    </row>
    <row r="40" spans="2:5" x14ac:dyDescent="0.25">
      <c r="B40" s="285"/>
      <c r="C40" s="16"/>
      <c r="D40" s="248" t="s">
        <v>139</v>
      </c>
      <c r="E40" s="285">
        <v>5289</v>
      </c>
    </row>
    <row r="41" spans="2:5" x14ac:dyDescent="0.25">
      <c r="B41" s="284">
        <v>25</v>
      </c>
      <c r="C41" s="268">
        <v>5290</v>
      </c>
      <c r="D41" s="18" t="s">
        <v>23</v>
      </c>
      <c r="E41" s="284">
        <v>25</v>
      </c>
    </row>
    <row r="42" spans="2:5" x14ac:dyDescent="0.25">
      <c r="B42" s="285"/>
      <c r="C42" s="16"/>
      <c r="D42" s="248" t="s">
        <v>140</v>
      </c>
      <c r="E42" s="285">
        <v>5290</v>
      </c>
    </row>
    <row r="43" spans="2:5" x14ac:dyDescent="0.25">
      <c r="B43" s="284">
        <v>23</v>
      </c>
      <c r="C43" s="268">
        <v>5288</v>
      </c>
      <c r="D43" s="18" t="s">
        <v>7</v>
      </c>
      <c r="E43" s="284">
        <v>23</v>
      </c>
    </row>
    <row r="44" spans="2:5" x14ac:dyDescent="0.25">
      <c r="B44" s="285"/>
      <c r="C44" s="16"/>
      <c r="D44" s="248" t="s">
        <v>378</v>
      </c>
      <c r="E44" s="285">
        <v>5288</v>
      </c>
    </row>
    <row r="45" spans="2:5" x14ac:dyDescent="0.25">
      <c r="B45" s="284">
        <v>27</v>
      </c>
      <c r="C45" s="268">
        <v>5292</v>
      </c>
      <c r="D45" s="18" t="s">
        <v>16</v>
      </c>
      <c r="E45" s="284">
        <v>27</v>
      </c>
    </row>
    <row r="46" spans="2:5" x14ac:dyDescent="0.25">
      <c r="B46" s="285"/>
      <c r="C46" s="16"/>
      <c r="D46" s="248" t="s">
        <v>141</v>
      </c>
      <c r="E46" s="285">
        <v>5292</v>
      </c>
    </row>
    <row r="47" spans="2:5" x14ac:dyDescent="0.25">
      <c r="B47" s="284">
        <v>28</v>
      </c>
      <c r="C47" s="268">
        <v>5293</v>
      </c>
      <c r="D47" s="18" t="s">
        <v>24</v>
      </c>
      <c r="E47" s="284">
        <v>28</v>
      </c>
    </row>
    <row r="48" spans="2:5" x14ac:dyDescent="0.25">
      <c r="B48" s="285"/>
      <c r="C48" s="16"/>
      <c r="D48" s="248" t="s">
        <v>142</v>
      </c>
      <c r="E48" s="285">
        <v>5293</v>
      </c>
    </row>
    <row r="49" spans="2:5" x14ac:dyDescent="0.25">
      <c r="B49" s="284">
        <v>26</v>
      </c>
      <c r="C49" s="268">
        <v>5291</v>
      </c>
      <c r="D49" s="18" t="s">
        <v>8</v>
      </c>
      <c r="E49" s="284">
        <v>26</v>
      </c>
    </row>
    <row r="50" spans="2:5" x14ac:dyDescent="0.25">
      <c r="B50" s="285"/>
      <c r="C50" s="16"/>
      <c r="D50" s="248" t="s">
        <v>379</v>
      </c>
      <c r="E50" s="285">
        <v>5291</v>
      </c>
    </row>
    <row r="51" spans="2:5" x14ac:dyDescent="0.25">
      <c r="B51" s="284">
        <v>30</v>
      </c>
      <c r="C51" s="268">
        <v>5295</v>
      </c>
      <c r="D51" s="18" t="s">
        <v>17</v>
      </c>
      <c r="E51" s="284">
        <v>30</v>
      </c>
    </row>
    <row r="52" spans="2:5" x14ac:dyDescent="0.25">
      <c r="B52" s="285"/>
      <c r="C52" s="16"/>
      <c r="D52" s="248" t="s">
        <v>143</v>
      </c>
      <c r="E52" s="285">
        <v>5295</v>
      </c>
    </row>
    <row r="53" spans="2:5" x14ac:dyDescent="0.25">
      <c r="B53" s="284">
        <v>31</v>
      </c>
      <c r="C53" s="268">
        <v>5296</v>
      </c>
      <c r="D53" s="18" t="s">
        <v>25</v>
      </c>
      <c r="E53" s="284">
        <v>31</v>
      </c>
    </row>
    <row r="54" spans="2:5" x14ac:dyDescent="0.25">
      <c r="B54" s="285"/>
      <c r="C54" s="16"/>
      <c r="D54" s="248" t="s">
        <v>144</v>
      </c>
      <c r="E54" s="285">
        <v>5296</v>
      </c>
    </row>
    <row r="55" spans="2:5" x14ac:dyDescent="0.25">
      <c r="B55" s="284">
        <v>29</v>
      </c>
      <c r="C55" s="268">
        <v>5294</v>
      </c>
      <c r="D55" s="18" t="s">
        <v>9</v>
      </c>
      <c r="E55" s="284">
        <v>29</v>
      </c>
    </row>
    <row r="56" spans="2:5" x14ac:dyDescent="0.25">
      <c r="B56" s="285"/>
      <c r="C56" s="16"/>
      <c r="D56" s="248" t="s">
        <v>380</v>
      </c>
      <c r="E56" s="285">
        <v>5294</v>
      </c>
    </row>
    <row r="57" spans="2:5" x14ac:dyDescent="0.25">
      <c r="B57" s="284">
        <v>4</v>
      </c>
      <c r="C57" s="268">
        <v>5272</v>
      </c>
      <c r="D57" s="18" t="s">
        <v>106</v>
      </c>
      <c r="E57" s="284">
        <v>4</v>
      </c>
    </row>
    <row r="58" spans="2:5" x14ac:dyDescent="0.25">
      <c r="B58" s="285"/>
      <c r="C58" s="16"/>
      <c r="D58" s="248" t="s">
        <v>381</v>
      </c>
      <c r="E58" s="285">
        <v>5272</v>
      </c>
    </row>
    <row r="59" spans="2:5" x14ac:dyDescent="0.25">
      <c r="B59" s="284">
        <v>2030</v>
      </c>
      <c r="C59" s="268">
        <v>5270</v>
      </c>
      <c r="D59" s="18" t="s">
        <v>110</v>
      </c>
      <c r="E59" s="284">
        <v>2030</v>
      </c>
    </row>
    <row r="60" spans="2:5" x14ac:dyDescent="0.25">
      <c r="B60" s="285"/>
      <c r="C60" s="248"/>
      <c r="D60" s="248" t="s">
        <v>344</v>
      </c>
      <c r="E60" s="285">
        <v>5270</v>
      </c>
    </row>
    <row r="61" spans="2:5" x14ac:dyDescent="0.25">
      <c r="B61" s="286">
        <v>5562</v>
      </c>
      <c r="C61" s="268">
        <v>5583</v>
      </c>
      <c r="D61" s="18" t="s">
        <v>108</v>
      </c>
      <c r="E61" s="286">
        <v>5562</v>
      </c>
    </row>
    <row r="62" spans="2:5" x14ac:dyDescent="0.25">
      <c r="B62" s="285"/>
      <c r="C62" s="16"/>
      <c r="D62" s="248" t="s">
        <v>382</v>
      </c>
      <c r="E62" s="285">
        <v>5583</v>
      </c>
    </row>
    <row r="63" spans="2:5" x14ac:dyDescent="0.25">
      <c r="B63" s="284">
        <v>5186</v>
      </c>
      <c r="C63" s="268">
        <v>5297</v>
      </c>
      <c r="D63" s="18" t="s">
        <v>120</v>
      </c>
      <c r="E63" s="284">
        <v>5186</v>
      </c>
    </row>
    <row r="64" spans="2:5" x14ac:dyDescent="0.25">
      <c r="B64" s="285"/>
      <c r="C64" s="16"/>
      <c r="D64" s="264" t="s">
        <v>345</v>
      </c>
      <c r="E64" s="285">
        <v>5297</v>
      </c>
    </row>
    <row r="65" spans="2:5" x14ac:dyDescent="0.25">
      <c r="B65" s="284">
        <v>5550</v>
      </c>
      <c r="C65" s="18">
        <v>5630</v>
      </c>
      <c r="D65" s="18" t="s">
        <v>116</v>
      </c>
      <c r="E65" s="284">
        <v>5550</v>
      </c>
    </row>
    <row r="66" spans="2:5" x14ac:dyDescent="0.25">
      <c r="B66" s="287"/>
      <c r="C66" s="248"/>
      <c r="D66" s="16" t="s">
        <v>370</v>
      </c>
      <c r="E66" s="287">
        <v>5630</v>
      </c>
    </row>
    <row r="67" spans="2:5" x14ac:dyDescent="0.25">
      <c r="B67" s="286">
        <v>5549</v>
      </c>
      <c r="C67" s="268">
        <v>5635</v>
      </c>
      <c r="D67" s="268" t="s">
        <v>118</v>
      </c>
      <c r="E67" s="286">
        <v>5549</v>
      </c>
    </row>
    <row r="68" spans="2:5" x14ac:dyDescent="0.25">
      <c r="B68" s="285"/>
      <c r="C68" s="16"/>
      <c r="D68" s="248" t="s">
        <v>371</v>
      </c>
      <c r="E68" s="285">
        <v>5635</v>
      </c>
    </row>
    <row r="69" spans="2:5" x14ac:dyDescent="0.25">
      <c r="B69" s="284">
        <v>2035</v>
      </c>
      <c r="C69" s="268">
        <v>7030</v>
      </c>
      <c r="D69" s="18" t="s">
        <v>305</v>
      </c>
      <c r="E69" s="284">
        <v>2035</v>
      </c>
    </row>
    <row r="70" spans="2:5" x14ac:dyDescent="0.25">
      <c r="B70" s="285"/>
      <c r="C70" s="16"/>
      <c r="D70" s="248" t="s">
        <v>383</v>
      </c>
      <c r="E70" s="285">
        <v>7030</v>
      </c>
    </row>
    <row r="71" spans="2:5" x14ac:dyDescent="0.25">
      <c r="B71" s="284">
        <v>9010</v>
      </c>
      <c r="C71" s="268">
        <v>7010</v>
      </c>
      <c r="D71" s="18" t="s">
        <v>347</v>
      </c>
      <c r="E71" s="284">
        <v>9010</v>
      </c>
    </row>
    <row r="72" spans="2:5" x14ac:dyDescent="0.25">
      <c r="B72" s="285"/>
      <c r="C72" s="16"/>
      <c r="D72" s="248" t="s">
        <v>384</v>
      </c>
      <c r="E72" s="285">
        <v>7010</v>
      </c>
    </row>
    <row r="73" spans="2:5" x14ac:dyDescent="0.25">
      <c r="B73" s="284">
        <v>9030</v>
      </c>
      <c r="C73" s="268">
        <v>7000</v>
      </c>
      <c r="D73" s="18" t="s">
        <v>346</v>
      </c>
      <c r="E73" s="284">
        <v>9030</v>
      </c>
    </row>
    <row r="74" spans="2:5" x14ac:dyDescent="0.25">
      <c r="B74" s="285"/>
      <c r="C74" s="16"/>
      <c r="D74" s="248" t="s">
        <v>385</v>
      </c>
      <c r="E74" s="285">
        <v>7000</v>
      </c>
    </row>
    <row r="75" spans="2:5" x14ac:dyDescent="0.25">
      <c r="B75" s="284">
        <v>5609</v>
      </c>
      <c r="C75" s="268">
        <v>7040</v>
      </c>
      <c r="D75" s="18" t="s">
        <v>154</v>
      </c>
      <c r="E75" s="284">
        <v>5609</v>
      </c>
    </row>
    <row r="76" spans="2:5" x14ac:dyDescent="0.25">
      <c r="B76" s="285"/>
      <c r="C76" s="16"/>
      <c r="D76" s="248" t="s">
        <v>386</v>
      </c>
      <c r="E76" s="285">
        <v>7040</v>
      </c>
    </row>
    <row r="77" spans="2:5" x14ac:dyDescent="0.25">
      <c r="B77" s="284">
        <v>2032</v>
      </c>
      <c r="C77" s="268">
        <v>5347</v>
      </c>
      <c r="D77" s="18" t="s">
        <v>109</v>
      </c>
      <c r="E77" s="284">
        <v>2032</v>
      </c>
    </row>
    <row r="78" spans="2:5" x14ac:dyDescent="0.25">
      <c r="B78" s="285"/>
      <c r="C78" s="16"/>
      <c r="D78" s="248" t="s">
        <v>146</v>
      </c>
      <c r="E78" s="285">
        <v>5347</v>
      </c>
    </row>
    <row r="79" spans="2:5" x14ac:dyDescent="0.25">
      <c r="B79" s="284">
        <v>5564</v>
      </c>
      <c r="C79" s="268">
        <v>5585</v>
      </c>
      <c r="D79" s="18" t="s">
        <v>107</v>
      </c>
      <c r="E79" s="284">
        <v>5564</v>
      </c>
    </row>
    <row r="80" spans="2:5" x14ac:dyDescent="0.25">
      <c r="B80" s="285"/>
      <c r="C80" s="16"/>
      <c r="D80" s="248" t="s">
        <v>147</v>
      </c>
      <c r="E80" s="285">
        <v>5585</v>
      </c>
    </row>
    <row r="81" spans="2:5" x14ac:dyDescent="0.25">
      <c r="B81" s="284">
        <v>5188</v>
      </c>
      <c r="C81" s="268">
        <v>5299</v>
      </c>
      <c r="D81" s="18" t="s">
        <v>119</v>
      </c>
      <c r="E81" s="284">
        <v>5188</v>
      </c>
    </row>
    <row r="82" spans="2:5" x14ac:dyDescent="0.25">
      <c r="B82" s="285"/>
      <c r="C82" s="16"/>
      <c r="D82" s="248" t="s">
        <v>148</v>
      </c>
      <c r="E82" s="285">
        <v>5299</v>
      </c>
    </row>
    <row r="83" spans="2:5" x14ac:dyDescent="0.25">
      <c r="B83" s="284">
        <v>5554</v>
      </c>
      <c r="C83" s="268">
        <v>5582</v>
      </c>
      <c r="D83" s="18" t="s">
        <v>115</v>
      </c>
      <c r="E83" s="284">
        <v>5554</v>
      </c>
    </row>
    <row r="84" spans="2:5" x14ac:dyDescent="0.25">
      <c r="B84" s="285"/>
      <c r="C84" s="16"/>
      <c r="D84" s="248" t="s">
        <v>149</v>
      </c>
      <c r="E84" s="285">
        <v>5582</v>
      </c>
    </row>
    <row r="85" spans="2:5" x14ac:dyDescent="0.25">
      <c r="B85" s="284">
        <v>5553</v>
      </c>
      <c r="C85" s="268">
        <v>5579</v>
      </c>
      <c r="D85" s="18" t="s">
        <v>117</v>
      </c>
      <c r="E85" s="284">
        <v>5553</v>
      </c>
    </row>
    <row r="86" spans="2:5" x14ac:dyDescent="0.25">
      <c r="B86" s="285"/>
      <c r="C86" s="16"/>
      <c r="D86" s="248" t="s">
        <v>145</v>
      </c>
      <c r="E86" s="285">
        <v>5579</v>
      </c>
    </row>
    <row r="87" spans="2:5" x14ac:dyDescent="0.25">
      <c r="B87" s="284">
        <v>2050</v>
      </c>
      <c r="C87" s="18">
        <v>5900</v>
      </c>
      <c r="D87" s="18" t="s">
        <v>124</v>
      </c>
      <c r="E87" s="284">
        <v>2050</v>
      </c>
    </row>
    <row r="88" spans="2:5" x14ac:dyDescent="0.25">
      <c r="B88" s="287"/>
      <c r="C88" s="16"/>
      <c r="D88" s="16" t="s">
        <v>372</v>
      </c>
      <c r="E88" s="287">
        <v>5900</v>
      </c>
    </row>
    <row r="89" spans="2:5" x14ac:dyDescent="0.25">
      <c r="B89" s="284">
        <v>2051</v>
      </c>
      <c r="C89" s="18">
        <v>5904</v>
      </c>
      <c r="D89" s="18" t="s">
        <v>125</v>
      </c>
      <c r="E89" s="284">
        <v>2051</v>
      </c>
    </row>
    <row r="90" spans="2:5" x14ac:dyDescent="0.25">
      <c r="B90" s="287"/>
      <c r="C90" s="16"/>
      <c r="D90" s="16" t="s">
        <v>373</v>
      </c>
      <c r="E90" s="287">
        <v>5904</v>
      </c>
    </row>
    <row r="91" spans="2:5" x14ac:dyDescent="0.25">
      <c r="B91" s="284">
        <v>2059</v>
      </c>
      <c r="C91" s="18">
        <v>2903</v>
      </c>
      <c r="D91" s="18" t="s">
        <v>123</v>
      </c>
      <c r="E91" s="284">
        <v>2059</v>
      </c>
    </row>
    <row r="92" spans="2:5" x14ac:dyDescent="0.25">
      <c r="B92" s="287"/>
      <c r="C92" s="16"/>
      <c r="D92" s="16" t="s">
        <v>374</v>
      </c>
      <c r="E92" s="287">
        <v>2903</v>
      </c>
    </row>
    <row r="93" spans="2:5" x14ac:dyDescent="0.25">
      <c r="B93" s="284">
        <v>2053</v>
      </c>
      <c r="C93" s="18">
        <v>5901</v>
      </c>
      <c r="D93" s="18" t="s">
        <v>121</v>
      </c>
      <c r="E93" s="284">
        <v>2053</v>
      </c>
    </row>
    <row r="94" spans="2:5" x14ac:dyDescent="0.25">
      <c r="B94" s="287"/>
      <c r="C94" s="16"/>
      <c r="D94" s="16" t="s">
        <v>375</v>
      </c>
      <c r="E94" s="287">
        <v>5901</v>
      </c>
    </row>
    <row r="95" spans="2:5" x14ac:dyDescent="0.25">
      <c r="B95" s="284">
        <v>2055</v>
      </c>
      <c r="C95" s="18">
        <v>5902</v>
      </c>
      <c r="D95" s="18" t="s">
        <v>122</v>
      </c>
      <c r="E95" s="284">
        <v>2055</v>
      </c>
    </row>
    <row r="96" spans="2:5" x14ac:dyDescent="0.25">
      <c r="B96" s="287"/>
      <c r="C96" s="16"/>
      <c r="D96" s="16" t="s">
        <v>376</v>
      </c>
      <c r="E96" s="287">
        <v>5902</v>
      </c>
    </row>
    <row r="97" spans="2:5" x14ac:dyDescent="0.25">
      <c r="B97" s="284">
        <v>9020</v>
      </c>
      <c r="C97" s="18">
        <v>7020</v>
      </c>
      <c r="D97" s="18" t="s">
        <v>194</v>
      </c>
      <c r="E97" s="284">
        <v>9020</v>
      </c>
    </row>
    <row r="98" spans="2:5" x14ac:dyDescent="0.25">
      <c r="B98" s="287"/>
      <c r="C98" s="16"/>
      <c r="D98" s="16" t="s">
        <v>387</v>
      </c>
      <c r="E98" s="287">
        <v>7020</v>
      </c>
    </row>
    <row r="99" spans="2:5" x14ac:dyDescent="0.25">
      <c r="B99" s="284">
        <v>2850</v>
      </c>
      <c r="C99" s="18">
        <v>5930</v>
      </c>
      <c r="D99" s="18" t="s">
        <v>348</v>
      </c>
      <c r="E99" s="284">
        <v>2850</v>
      </c>
    </row>
    <row r="100" spans="2:5" x14ac:dyDescent="0.25">
      <c r="B100" s="287"/>
      <c r="C100" s="16"/>
      <c r="D100" s="16" t="s">
        <v>348</v>
      </c>
      <c r="E100" s="287">
        <v>5930</v>
      </c>
    </row>
    <row r="101" spans="2:5" x14ac:dyDescent="0.25">
      <c r="B101" s="284">
        <v>2855</v>
      </c>
      <c r="C101" s="18">
        <v>5931</v>
      </c>
      <c r="D101" s="18" t="s">
        <v>349</v>
      </c>
      <c r="E101" s="284">
        <v>2855</v>
      </c>
    </row>
    <row r="102" spans="2:5" x14ac:dyDescent="0.25">
      <c r="B102" s="287"/>
      <c r="C102" s="16"/>
      <c r="D102" s="16" t="s">
        <v>349</v>
      </c>
      <c r="E102" s="287">
        <v>5931</v>
      </c>
    </row>
    <row r="103" spans="2:5" x14ac:dyDescent="0.25">
      <c r="B103" s="284">
        <v>47</v>
      </c>
      <c r="C103" s="18">
        <v>5926</v>
      </c>
      <c r="D103" s="18" t="s">
        <v>350</v>
      </c>
      <c r="E103" s="284">
        <v>47</v>
      </c>
    </row>
    <row r="104" spans="2:5" x14ac:dyDescent="0.25">
      <c r="B104" s="287"/>
      <c r="C104" s="16"/>
      <c r="D104" s="16" t="s">
        <v>350</v>
      </c>
      <c r="E104" s="287">
        <v>5926</v>
      </c>
    </row>
    <row r="105" spans="2:5" x14ac:dyDescent="0.25">
      <c r="B105" s="284">
        <v>2436</v>
      </c>
      <c r="C105" s="18">
        <v>5925</v>
      </c>
      <c r="D105" s="18" t="s">
        <v>352</v>
      </c>
      <c r="E105" s="284">
        <v>2436</v>
      </c>
    </row>
    <row r="106" spans="2:5" x14ac:dyDescent="0.25">
      <c r="B106" s="287"/>
      <c r="C106" s="16"/>
      <c r="D106" s="16" t="s">
        <v>352</v>
      </c>
      <c r="E106" s="287">
        <v>5925</v>
      </c>
    </row>
    <row r="107" spans="2:5" x14ac:dyDescent="0.25">
      <c r="B107" s="284">
        <v>44</v>
      </c>
      <c r="C107" s="18">
        <v>5921</v>
      </c>
      <c r="D107" s="18" t="s">
        <v>351</v>
      </c>
      <c r="E107" s="284">
        <v>44</v>
      </c>
    </row>
    <row r="108" spans="2:5" x14ac:dyDescent="0.25">
      <c r="B108" s="287"/>
      <c r="C108" s="16"/>
      <c r="D108" s="16" t="s">
        <v>351</v>
      </c>
      <c r="E108" s="287">
        <v>5921</v>
      </c>
    </row>
    <row r="109" spans="2:5" x14ac:dyDescent="0.25">
      <c r="B109" s="284">
        <v>2421</v>
      </c>
      <c r="C109" s="18">
        <v>5920</v>
      </c>
      <c r="D109" s="18" t="s">
        <v>353</v>
      </c>
      <c r="E109" s="284">
        <v>2421</v>
      </c>
    </row>
    <row r="110" spans="2:5" x14ac:dyDescent="0.25">
      <c r="B110" s="287"/>
      <c r="C110" s="16"/>
      <c r="D110" s="16" t="s">
        <v>353</v>
      </c>
      <c r="E110" s="287">
        <v>5920</v>
      </c>
    </row>
    <row r="111" spans="2:5" x14ac:dyDescent="0.25">
      <c r="B111" s="284">
        <v>2840</v>
      </c>
      <c r="C111" s="18">
        <v>5936</v>
      </c>
      <c r="D111" s="18" t="s">
        <v>311</v>
      </c>
      <c r="E111" s="284">
        <v>2840</v>
      </c>
    </row>
    <row r="112" spans="2:5" x14ac:dyDescent="0.25">
      <c r="B112" s="287"/>
      <c r="C112" s="16"/>
      <c r="D112" s="16" t="s">
        <v>311</v>
      </c>
      <c r="E112" s="287">
        <v>5936</v>
      </c>
    </row>
    <row r="113" spans="2:5" x14ac:dyDescent="0.25">
      <c r="B113" s="284">
        <v>5073</v>
      </c>
      <c r="C113" s="18">
        <v>5935</v>
      </c>
      <c r="D113" s="18" t="s">
        <v>312</v>
      </c>
      <c r="E113" s="284">
        <v>5073</v>
      </c>
    </row>
    <row r="114" spans="2:5" x14ac:dyDescent="0.25">
      <c r="B114" s="287"/>
      <c r="C114" s="16"/>
      <c r="D114" s="16" t="s">
        <v>312</v>
      </c>
      <c r="E114" s="287">
        <v>5935</v>
      </c>
    </row>
    <row r="115" spans="2:5" x14ac:dyDescent="0.25">
      <c r="B115" s="284">
        <v>5072</v>
      </c>
      <c r="C115" s="18">
        <v>5322</v>
      </c>
      <c r="D115" s="18" t="s">
        <v>313</v>
      </c>
      <c r="E115" s="284">
        <v>5072</v>
      </c>
    </row>
    <row r="116" spans="2:5" x14ac:dyDescent="0.25">
      <c r="B116" s="287"/>
      <c r="C116" s="16"/>
      <c r="D116" s="16" t="s">
        <v>313</v>
      </c>
      <c r="E116" s="287">
        <v>5322</v>
      </c>
    </row>
    <row r="117" spans="2:5" x14ac:dyDescent="0.25">
      <c r="B117" s="284">
        <v>2825</v>
      </c>
      <c r="C117" s="18">
        <v>5320</v>
      </c>
      <c r="D117" s="18" t="s">
        <v>314</v>
      </c>
      <c r="E117" s="284">
        <v>2825</v>
      </c>
    </row>
    <row r="118" spans="2:5" x14ac:dyDescent="0.25">
      <c r="B118" s="287"/>
      <c r="C118" s="16"/>
      <c r="D118" s="16" t="s">
        <v>314</v>
      </c>
      <c r="E118" s="287">
        <v>5320</v>
      </c>
    </row>
    <row r="119" spans="2:5" x14ac:dyDescent="0.25">
      <c r="B119" s="284">
        <v>5071</v>
      </c>
      <c r="C119" s="18">
        <v>5323</v>
      </c>
      <c r="D119" s="18" t="s">
        <v>315</v>
      </c>
      <c r="E119" s="284">
        <v>5071</v>
      </c>
    </row>
    <row r="120" spans="2:5" x14ac:dyDescent="0.25">
      <c r="B120" s="287"/>
      <c r="C120" s="16"/>
      <c r="D120" s="16" t="s">
        <v>315</v>
      </c>
      <c r="E120" s="287">
        <v>5323</v>
      </c>
    </row>
    <row r="121" spans="2:5" x14ac:dyDescent="0.25">
      <c r="B121" s="284">
        <v>2826</v>
      </c>
      <c r="C121" s="18">
        <v>5321</v>
      </c>
      <c r="D121" s="18" t="s">
        <v>316</v>
      </c>
      <c r="E121" s="284">
        <v>2826</v>
      </c>
    </row>
    <row r="122" spans="2:5" x14ac:dyDescent="0.25">
      <c r="B122" s="287"/>
      <c r="C122" s="16"/>
      <c r="D122" s="16" t="s">
        <v>316</v>
      </c>
      <c r="E122" s="287">
        <v>5321</v>
      </c>
    </row>
    <row r="123" spans="2:5" x14ac:dyDescent="0.25">
      <c r="B123" s="284">
        <v>2828</v>
      </c>
      <c r="C123" s="18">
        <v>5940</v>
      </c>
      <c r="D123" s="18" t="s">
        <v>317</v>
      </c>
      <c r="E123" s="284">
        <v>2828</v>
      </c>
    </row>
    <row r="124" spans="2:5" x14ac:dyDescent="0.25">
      <c r="B124" s="287"/>
      <c r="C124" s="16"/>
      <c r="D124" s="16" t="s">
        <v>317</v>
      </c>
      <c r="E124" s="287">
        <v>5940</v>
      </c>
    </row>
    <row r="125" spans="2:5" x14ac:dyDescent="0.25">
      <c r="B125" s="284">
        <v>2827</v>
      </c>
      <c r="C125" s="18">
        <v>5941</v>
      </c>
      <c r="D125" s="18" t="s">
        <v>318</v>
      </c>
      <c r="E125" s="284">
        <v>2827</v>
      </c>
    </row>
    <row r="126" spans="2:5" x14ac:dyDescent="0.25">
      <c r="B126" s="287"/>
      <c r="C126" s="16"/>
      <c r="D126" s="16" t="s">
        <v>318</v>
      </c>
      <c r="E126" s="287">
        <v>5941</v>
      </c>
    </row>
    <row r="127" spans="2:5" x14ac:dyDescent="0.25">
      <c r="B127" s="284">
        <v>2819</v>
      </c>
      <c r="C127" s="18">
        <v>5300</v>
      </c>
      <c r="D127" s="18" t="s">
        <v>319</v>
      </c>
      <c r="E127" s="284">
        <v>2819</v>
      </c>
    </row>
    <row r="128" spans="2:5" x14ac:dyDescent="0.25">
      <c r="B128" s="287"/>
      <c r="C128" s="16"/>
      <c r="D128" s="16" t="s">
        <v>319</v>
      </c>
      <c r="E128" s="287">
        <v>5300</v>
      </c>
    </row>
    <row r="129" spans="2:5" x14ac:dyDescent="0.25">
      <c r="B129" s="284">
        <v>5543</v>
      </c>
      <c r="C129" s="18">
        <v>5643</v>
      </c>
      <c r="D129" s="18" t="s">
        <v>320</v>
      </c>
      <c r="E129" s="284">
        <v>5543</v>
      </c>
    </row>
    <row r="130" spans="2:5" x14ac:dyDescent="0.25">
      <c r="B130" s="287"/>
      <c r="C130" s="16"/>
      <c r="D130" s="16" t="s">
        <v>320</v>
      </c>
      <c r="E130" s="287">
        <v>5643</v>
      </c>
    </row>
    <row r="131" spans="2:5" x14ac:dyDescent="0.25">
      <c r="B131" s="284">
        <v>2467</v>
      </c>
      <c r="C131" s="18">
        <v>5337</v>
      </c>
      <c r="D131" s="18" t="s">
        <v>321</v>
      </c>
      <c r="E131" s="284">
        <v>2467</v>
      </c>
    </row>
    <row r="132" spans="2:5" x14ac:dyDescent="0.25">
      <c r="B132" s="287"/>
      <c r="C132" s="16"/>
      <c r="D132" s="16" t="s">
        <v>321</v>
      </c>
      <c r="E132" s="287">
        <v>5337</v>
      </c>
    </row>
    <row r="133" spans="2:5" x14ac:dyDescent="0.25">
      <c r="B133" s="284">
        <v>2468</v>
      </c>
      <c r="C133" s="18">
        <v>5333</v>
      </c>
      <c r="D133" s="18" t="s">
        <v>322</v>
      </c>
      <c r="E133" s="284">
        <v>2468</v>
      </c>
    </row>
    <row r="134" spans="2:5" x14ac:dyDescent="0.25">
      <c r="B134" s="287"/>
      <c r="C134" s="16"/>
      <c r="D134" s="16" t="s">
        <v>322</v>
      </c>
      <c r="E134" s="287">
        <v>5333</v>
      </c>
    </row>
    <row r="135" spans="2:5" x14ac:dyDescent="0.25">
      <c r="B135" s="284">
        <v>2473</v>
      </c>
      <c r="C135" s="18">
        <v>5184</v>
      </c>
      <c r="D135" s="18" t="s">
        <v>323</v>
      </c>
      <c r="E135" s="284">
        <v>2473</v>
      </c>
    </row>
    <row r="136" spans="2:5" x14ac:dyDescent="0.25">
      <c r="B136" s="287"/>
      <c r="C136" s="16"/>
      <c r="D136" s="16" t="s">
        <v>323</v>
      </c>
      <c r="E136" s="287">
        <v>5184</v>
      </c>
    </row>
    <row r="137" spans="2:5" x14ac:dyDescent="0.25">
      <c r="B137" s="284">
        <v>2474</v>
      </c>
      <c r="C137" s="18">
        <v>5644</v>
      </c>
      <c r="D137" s="18" t="s">
        <v>324</v>
      </c>
      <c r="E137" s="284">
        <v>2474</v>
      </c>
    </row>
    <row r="138" spans="2:5" x14ac:dyDescent="0.25">
      <c r="B138" s="287"/>
      <c r="C138" s="16"/>
      <c r="D138" s="16" t="s">
        <v>324</v>
      </c>
      <c r="E138" s="287">
        <v>5644</v>
      </c>
    </row>
    <row r="139" spans="2:5" x14ac:dyDescent="0.25">
      <c r="B139" s="284">
        <v>2470</v>
      </c>
      <c r="C139" s="18">
        <v>5334</v>
      </c>
      <c r="D139" s="18" t="s">
        <v>325</v>
      </c>
      <c r="E139" s="284">
        <v>2470</v>
      </c>
    </row>
    <row r="140" spans="2:5" x14ac:dyDescent="0.25">
      <c r="B140" s="287"/>
      <c r="C140" s="16"/>
      <c r="D140" s="16" t="s">
        <v>325</v>
      </c>
      <c r="E140" s="287">
        <v>5334</v>
      </c>
    </row>
    <row r="141" spans="2:5" x14ac:dyDescent="0.25">
      <c r="B141" s="284">
        <v>2475</v>
      </c>
      <c r="C141" s="18">
        <v>5645</v>
      </c>
      <c r="D141" s="18" t="s">
        <v>326</v>
      </c>
      <c r="E141" s="284">
        <v>2475</v>
      </c>
    </row>
    <row r="142" spans="2:5" x14ac:dyDescent="0.25">
      <c r="B142" s="287"/>
      <c r="C142" s="16"/>
      <c r="D142" s="16" t="s">
        <v>326</v>
      </c>
      <c r="E142" s="287">
        <v>5645</v>
      </c>
    </row>
    <row r="143" spans="2:5" x14ac:dyDescent="0.25">
      <c r="B143" s="284">
        <v>2472</v>
      </c>
      <c r="C143" s="18">
        <v>5338</v>
      </c>
      <c r="D143" s="18" t="s">
        <v>327</v>
      </c>
      <c r="E143" s="284">
        <v>2472</v>
      </c>
    </row>
    <row r="144" spans="2:5" x14ac:dyDescent="0.25">
      <c r="B144" s="287"/>
      <c r="C144" s="16"/>
      <c r="D144" s="16" t="s">
        <v>327</v>
      </c>
      <c r="E144" s="287">
        <v>5338</v>
      </c>
    </row>
    <row r="145" spans="2:5" x14ac:dyDescent="0.25">
      <c r="B145" s="284">
        <v>2471</v>
      </c>
      <c r="C145" s="18">
        <v>5335</v>
      </c>
      <c r="D145" s="18" t="s">
        <v>328</v>
      </c>
      <c r="E145" s="284">
        <v>2471</v>
      </c>
    </row>
    <row r="146" spans="2:5" x14ac:dyDescent="0.25">
      <c r="B146" s="287"/>
      <c r="C146" s="16"/>
      <c r="D146" s="16" t="s">
        <v>328</v>
      </c>
      <c r="E146" s="287">
        <v>5335</v>
      </c>
    </row>
    <row r="147" spans="2:5" x14ac:dyDescent="0.25">
      <c r="B147" s="284">
        <v>5252</v>
      </c>
      <c r="C147" s="268">
        <v>5361</v>
      </c>
      <c r="D147" s="18" t="s">
        <v>329</v>
      </c>
      <c r="E147" s="284">
        <v>5252</v>
      </c>
    </row>
    <row r="148" spans="2:5" x14ac:dyDescent="0.25">
      <c r="B148" s="285"/>
      <c r="C148" s="16"/>
      <c r="D148" s="248" t="s">
        <v>366</v>
      </c>
      <c r="E148" s="285">
        <v>5361</v>
      </c>
    </row>
    <row r="149" spans="2:5" x14ac:dyDescent="0.25">
      <c r="B149" s="284">
        <v>5253</v>
      </c>
      <c r="C149" s="268">
        <v>5362</v>
      </c>
      <c r="D149" s="18" t="s">
        <v>330</v>
      </c>
      <c r="E149" s="284">
        <v>5253</v>
      </c>
    </row>
    <row r="150" spans="2:5" x14ac:dyDescent="0.25">
      <c r="B150" s="285"/>
      <c r="C150" s="16"/>
      <c r="D150" s="248" t="s">
        <v>367</v>
      </c>
      <c r="E150" s="285">
        <v>5362</v>
      </c>
    </row>
    <row r="151" spans="2:5" x14ac:dyDescent="0.25">
      <c r="B151" s="284">
        <v>5254</v>
      </c>
      <c r="C151" s="268">
        <v>5557</v>
      </c>
      <c r="D151" s="18" t="s">
        <v>331</v>
      </c>
      <c r="E151" s="284">
        <v>5254</v>
      </c>
    </row>
    <row r="152" spans="2:5" x14ac:dyDescent="0.25">
      <c r="B152" s="285"/>
      <c r="C152" s="16"/>
      <c r="D152" s="248" t="s">
        <v>368</v>
      </c>
      <c r="E152" s="285">
        <v>5557</v>
      </c>
    </row>
    <row r="153" spans="2:5" x14ac:dyDescent="0.25">
      <c r="B153" s="284">
        <v>5255</v>
      </c>
      <c r="C153" s="268">
        <v>5363</v>
      </c>
      <c r="D153" s="18" t="s">
        <v>332</v>
      </c>
      <c r="E153" s="284">
        <v>5255</v>
      </c>
    </row>
    <row r="154" spans="2:5" x14ac:dyDescent="0.25">
      <c r="B154" s="285"/>
      <c r="C154" s="16"/>
      <c r="D154" s="248" t="s">
        <v>369</v>
      </c>
      <c r="E154" s="285">
        <v>5363</v>
      </c>
    </row>
    <row r="155" spans="2:5" x14ac:dyDescent="0.25">
      <c r="B155" s="284">
        <v>5256</v>
      </c>
      <c r="C155" s="268">
        <v>5364</v>
      </c>
      <c r="D155" s="18" t="s">
        <v>333</v>
      </c>
      <c r="E155" s="284">
        <v>5256</v>
      </c>
    </row>
    <row r="156" spans="2:5" x14ac:dyDescent="0.25">
      <c r="B156" s="285"/>
      <c r="C156" s="16"/>
      <c r="D156" s="248" t="s">
        <v>365</v>
      </c>
      <c r="E156" s="285">
        <v>5364</v>
      </c>
    </row>
    <row r="157" spans="2:5" x14ac:dyDescent="0.25">
      <c r="B157" s="284">
        <v>2817</v>
      </c>
      <c r="C157" s="18">
        <v>5301</v>
      </c>
      <c r="D157" s="18" t="s">
        <v>334</v>
      </c>
      <c r="E157" s="284">
        <v>2817</v>
      </c>
    </row>
    <row r="158" spans="2:5" x14ac:dyDescent="0.25">
      <c r="B158" s="287"/>
      <c r="C158" s="16"/>
      <c r="D158" s="16" t="s">
        <v>334</v>
      </c>
      <c r="E158" s="287">
        <v>5301</v>
      </c>
    </row>
    <row r="159" spans="2:5" x14ac:dyDescent="0.25">
      <c r="B159" s="284">
        <v>112</v>
      </c>
      <c r="C159" s="18">
        <v>5950</v>
      </c>
      <c r="D159" s="18" t="s">
        <v>335</v>
      </c>
      <c r="E159" s="284">
        <v>112</v>
      </c>
    </row>
    <row r="160" spans="2:5" x14ac:dyDescent="0.25">
      <c r="B160" s="287"/>
      <c r="C160" s="16"/>
      <c r="D160" s="16" t="s">
        <v>335</v>
      </c>
      <c r="E160" s="287">
        <v>5950</v>
      </c>
    </row>
    <row r="161" spans="2:5" x14ac:dyDescent="0.25">
      <c r="B161" s="284">
        <v>5257</v>
      </c>
      <c r="C161" s="18">
        <v>5319</v>
      </c>
      <c r="D161" s="18" t="s">
        <v>339</v>
      </c>
      <c r="E161" s="284">
        <v>5257</v>
      </c>
    </row>
    <row r="162" spans="2:5" x14ac:dyDescent="0.25">
      <c r="B162" s="287"/>
      <c r="C162" s="16"/>
      <c r="D162" s="16" t="s">
        <v>339</v>
      </c>
      <c r="E162" s="287">
        <v>5319</v>
      </c>
    </row>
    <row r="163" spans="2:5" x14ac:dyDescent="0.25">
      <c r="B163" s="284">
        <v>2540</v>
      </c>
      <c r="C163" s="268">
        <v>5356</v>
      </c>
      <c r="D163" s="18" t="s">
        <v>363</v>
      </c>
      <c r="E163" s="284">
        <v>2540</v>
      </c>
    </row>
    <row r="164" spans="2:5" x14ac:dyDescent="0.25">
      <c r="B164" s="288"/>
      <c r="C164" s="289"/>
      <c r="D164" s="289" t="s">
        <v>388</v>
      </c>
      <c r="E164" s="288">
        <v>5356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F9"/>
  <sheetViews>
    <sheetView workbookViewId="0">
      <selection sqref="A1:F9"/>
    </sheetView>
  </sheetViews>
  <sheetFormatPr defaultRowHeight="15" x14ac:dyDescent="0.25"/>
  <cols>
    <col min="1" max="1" width="3" bestFit="1" customWidth="1"/>
    <col min="2" max="2" width="4.42578125" bestFit="1" customWidth="1"/>
    <col min="3" max="3" width="4" bestFit="1" customWidth="1"/>
    <col min="4" max="4" width="7.85546875" bestFit="1" customWidth="1"/>
    <col min="6" max="6" width="53.28515625" bestFit="1" customWidth="1"/>
  </cols>
  <sheetData>
    <row r="1" spans="1:6" x14ac:dyDescent="0.25">
      <c r="A1" s="8" t="s">
        <v>83</v>
      </c>
      <c r="B1" s="9" t="s">
        <v>84</v>
      </c>
      <c r="C1" s="10">
        <v>0</v>
      </c>
      <c r="D1" s="10">
        <v>1427</v>
      </c>
      <c r="E1" s="10"/>
      <c r="F1" s="9" t="s">
        <v>85</v>
      </c>
    </row>
    <row r="2" spans="1:6" x14ac:dyDescent="0.25">
      <c r="A2" s="11" t="s">
        <v>83</v>
      </c>
      <c r="B2" s="12" t="s">
        <v>86</v>
      </c>
      <c r="C2" s="5">
        <v>0</v>
      </c>
      <c r="D2" s="5">
        <v>1704</v>
      </c>
      <c r="E2" s="5"/>
      <c r="F2" s="12" t="s">
        <v>87</v>
      </c>
    </row>
    <row r="3" spans="1:6" x14ac:dyDescent="0.25">
      <c r="A3" s="8" t="s">
        <v>83</v>
      </c>
      <c r="B3" s="9" t="s">
        <v>88</v>
      </c>
      <c r="C3" s="10">
        <v>0</v>
      </c>
      <c r="D3" s="10">
        <v>3048</v>
      </c>
      <c r="E3" s="10"/>
      <c r="F3" s="9" t="s">
        <v>89</v>
      </c>
    </row>
    <row r="4" spans="1:6" x14ac:dyDescent="0.25">
      <c r="A4" s="11" t="s">
        <v>83</v>
      </c>
      <c r="B4" s="12" t="s">
        <v>90</v>
      </c>
      <c r="C4" s="5">
        <v>0</v>
      </c>
      <c r="D4" s="5">
        <v>60</v>
      </c>
      <c r="E4" s="5"/>
      <c r="F4" s="12" t="s">
        <v>91</v>
      </c>
    </row>
    <row r="5" spans="1:6" x14ac:dyDescent="0.25">
      <c r="A5" s="8" t="s">
        <v>83</v>
      </c>
      <c r="B5" s="9" t="s">
        <v>92</v>
      </c>
      <c r="C5" s="10">
        <v>0</v>
      </c>
      <c r="D5" s="10">
        <v>0</v>
      </c>
      <c r="E5" s="10"/>
      <c r="F5" s="9" t="s">
        <v>93</v>
      </c>
    </row>
    <row r="6" spans="1:6" x14ac:dyDescent="0.25">
      <c r="A6" s="11" t="s">
        <v>83</v>
      </c>
      <c r="B6" s="12" t="s">
        <v>94</v>
      </c>
      <c r="C6" s="5">
        <v>0</v>
      </c>
      <c r="D6" s="5">
        <v>0</v>
      </c>
      <c r="E6" s="5"/>
      <c r="F6" s="12" t="s">
        <v>95</v>
      </c>
    </row>
    <row r="7" spans="1:6" x14ac:dyDescent="0.25">
      <c r="A7" s="8" t="s">
        <v>83</v>
      </c>
      <c r="B7" s="9" t="s">
        <v>96</v>
      </c>
      <c r="C7" s="10">
        <v>0</v>
      </c>
      <c r="D7" s="10">
        <v>14412</v>
      </c>
      <c r="E7" s="10"/>
      <c r="F7" s="9" t="s">
        <v>97</v>
      </c>
    </row>
    <row r="8" spans="1:6" x14ac:dyDescent="0.25">
      <c r="A8" s="11" t="s">
        <v>83</v>
      </c>
      <c r="B8" s="12" t="s">
        <v>98</v>
      </c>
      <c r="C8" s="5">
        <v>0</v>
      </c>
      <c r="D8" s="5">
        <v>2496</v>
      </c>
      <c r="E8" s="5"/>
      <c r="F8" s="12" t="s">
        <v>99</v>
      </c>
    </row>
    <row r="9" spans="1:6" x14ac:dyDescent="0.25">
      <c r="A9" s="13" t="s">
        <v>83</v>
      </c>
      <c r="B9" s="14" t="s">
        <v>100</v>
      </c>
      <c r="C9" s="15">
        <v>0</v>
      </c>
      <c r="D9" s="15">
        <v>0</v>
      </c>
      <c r="E9" s="15"/>
      <c r="F9" s="14" t="s">
        <v>101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8"/>
  <dimension ref="A1:AB171"/>
  <sheetViews>
    <sheetView workbookViewId="0">
      <selection activeCell="C21" sqref="C21"/>
    </sheetView>
  </sheetViews>
  <sheetFormatPr defaultRowHeight="15" x14ac:dyDescent="0.25"/>
  <cols>
    <col min="1" max="1" width="12.28515625" customWidth="1"/>
    <col min="2" max="2" width="50.7109375" customWidth="1"/>
    <col min="3" max="3" width="11.7109375" customWidth="1"/>
    <col min="4" max="4" width="12.7109375" style="35" customWidth="1"/>
    <col min="5" max="5" width="9.85546875" style="35" customWidth="1"/>
    <col min="6" max="6" width="12.28515625" style="27" customWidth="1"/>
    <col min="7" max="7" width="9.85546875" style="35" bestFit="1" customWidth="1"/>
    <col min="8" max="8" width="14" customWidth="1"/>
    <col min="10" max="10" width="16" style="21" customWidth="1"/>
    <col min="11" max="11" width="15.28515625" style="1" customWidth="1"/>
    <col min="12" max="12" width="13.140625" style="50" customWidth="1"/>
    <col min="13" max="13" width="9.140625" style="40"/>
  </cols>
  <sheetData>
    <row r="1" spans="1:13" ht="15.75" thickBot="1" x14ac:dyDescent="0.3">
      <c r="B1" s="3">
        <v>45335</v>
      </c>
      <c r="H1" s="21"/>
      <c r="I1" s="1"/>
      <c r="J1" s="50"/>
      <c r="K1" s="40"/>
      <c r="L1"/>
      <c r="M1"/>
    </row>
    <row r="2" spans="1:13" ht="45.75" thickBot="1" x14ac:dyDescent="0.3">
      <c r="A2" s="25" t="s">
        <v>160</v>
      </c>
      <c r="B2" s="25" t="s">
        <v>71</v>
      </c>
      <c r="C2" s="34" t="s">
        <v>173</v>
      </c>
      <c r="D2" s="65" t="s">
        <v>192</v>
      </c>
      <c r="E2" s="65" t="s">
        <v>191</v>
      </c>
      <c r="F2" s="34" t="s">
        <v>190</v>
      </c>
      <c r="G2" s="36" t="s">
        <v>188</v>
      </c>
      <c r="H2" s="48" t="s">
        <v>174</v>
      </c>
      <c r="I2" s="41" t="s">
        <v>175</v>
      </c>
      <c r="J2" s="50" t="s">
        <v>189</v>
      </c>
      <c r="K2" s="40" t="s">
        <v>157</v>
      </c>
      <c r="L2"/>
      <c r="M2"/>
    </row>
    <row r="3" spans="1:13" ht="15.75" thickBot="1" x14ac:dyDescent="0.3">
      <c r="A3" s="79">
        <v>1423</v>
      </c>
      <c r="B3" s="23" t="s">
        <v>28</v>
      </c>
      <c r="C3" s="28">
        <v>24900</v>
      </c>
      <c r="D3" s="68"/>
      <c r="E3" s="68"/>
      <c r="F3" s="28">
        <f>Tabela7[[#This Row],[soma]]-Tabela7[[#This Row],[usou 13/02]]-Tabela7[[#This Row],[usou 2]]</f>
        <v>24900</v>
      </c>
      <c r="G3" s="37">
        <v>29116</v>
      </c>
      <c r="H3" s="49">
        <f>Tabela7[[#This Row],[soma final]]/(Tabela7[[#This Row],[media]])</f>
        <v>0.85519989009479325</v>
      </c>
      <c r="I3" s="43">
        <v>90000</v>
      </c>
      <c r="J3" s="50">
        <f>Tabela7[[#This Row],[obs:]]+Tabela7[[#This Row],[soma final]]</f>
        <v>114900</v>
      </c>
      <c r="K3" s="49">
        <f>Tabela7[[#This Row],[saldo novo]]/Tabela7[[#This Row],[media]]</f>
        <v>3.9462838301964553</v>
      </c>
      <c r="L3"/>
      <c r="M3"/>
    </row>
    <row r="4" spans="1:13" ht="15.75" thickBot="1" x14ac:dyDescent="0.3">
      <c r="A4" s="80">
        <v>514</v>
      </c>
      <c r="B4" s="23" t="s">
        <v>165</v>
      </c>
      <c r="C4" s="29">
        <v>0</v>
      </c>
      <c r="D4" s="68"/>
      <c r="E4" s="67"/>
      <c r="F4" s="29">
        <f>Tabela7[[#This Row],[soma]]-Tabela7[[#This Row],[usou 13/02]]-Tabela7[[#This Row],[usou 2]]</f>
        <v>0</v>
      </c>
      <c r="G4" s="60">
        <v>936</v>
      </c>
      <c r="H4" s="49">
        <f>Tabela7[[#This Row],[soma final]]/(Tabela7[[#This Row],[media]])</f>
        <v>0</v>
      </c>
      <c r="I4" s="22">
        <v>0</v>
      </c>
      <c r="J4" s="55">
        <f>Tabela7[[#This Row],[obs:]]+Tabela7[[#This Row],[soma final]]</f>
        <v>0</v>
      </c>
      <c r="K4" s="49">
        <f>Tabela7[[#This Row],[saldo novo]]/Tabela7[[#This Row],[media]]</f>
        <v>0</v>
      </c>
      <c r="L4"/>
      <c r="M4"/>
    </row>
    <row r="5" spans="1:13" ht="15.75" thickBot="1" x14ac:dyDescent="0.3">
      <c r="A5" s="80">
        <v>495</v>
      </c>
      <c r="B5" s="24" t="s">
        <v>5</v>
      </c>
      <c r="C5" s="29">
        <v>210100</v>
      </c>
      <c r="D5" s="68"/>
      <c r="E5" s="69"/>
      <c r="F5" s="29">
        <f>Tabela7[[#This Row],[soma]]-Tabela7[[#This Row],[usou 13/02]]-Tabela7[[#This Row],[usou 2]]</f>
        <v>210100</v>
      </c>
      <c r="G5" s="38">
        <v>277521</v>
      </c>
      <c r="H5" s="49">
        <f>Tabela7[[#This Row],[soma final]]/(Tabela7[[#This Row],[media]])</f>
        <v>0.75705982610324984</v>
      </c>
      <c r="I5" s="44">
        <v>840000</v>
      </c>
      <c r="J5" s="50">
        <f>Tabela7[[#This Row],[obs:]]+Tabela7[[#This Row],[soma final]]</f>
        <v>1050100</v>
      </c>
      <c r="K5" s="49">
        <f>Tabela7[[#This Row],[saldo novo]]/Tabela7[[#This Row],[media]]</f>
        <v>3.7838577981486088</v>
      </c>
      <c r="L5"/>
      <c r="M5"/>
    </row>
    <row r="6" spans="1:13" ht="15.75" thickBot="1" x14ac:dyDescent="0.3">
      <c r="A6" s="81">
        <v>494</v>
      </c>
      <c r="B6" s="26" t="s">
        <v>4</v>
      </c>
      <c r="C6" s="28">
        <v>76400</v>
      </c>
      <c r="D6" s="68"/>
      <c r="E6" s="68"/>
      <c r="F6" s="28">
        <f>Tabela7[[#This Row],[soma]]-Tabela7[[#This Row],[usou 13/02]]-Tabela7[[#This Row],[usou 2]]</f>
        <v>76400</v>
      </c>
      <c r="G6" s="37">
        <v>168168</v>
      </c>
      <c r="H6" s="49">
        <f>Tabela7[[#This Row],[soma final]]/(Tabela7[[#This Row],[media]])</f>
        <v>0.45430759716474001</v>
      </c>
      <c r="I6" s="43">
        <v>390000</v>
      </c>
      <c r="J6" s="50">
        <f>Tabela7[[#This Row],[obs:]]+Tabela7[[#This Row],[soma final]]</f>
        <v>466400</v>
      </c>
      <c r="K6" s="49">
        <f>Tabela7[[#This Row],[saldo novo]]/Tabela7[[#This Row],[media]]</f>
        <v>2.773417059131345</v>
      </c>
      <c r="L6"/>
      <c r="M6"/>
    </row>
    <row r="7" spans="1:13" ht="15.75" thickBot="1" x14ac:dyDescent="0.3">
      <c r="A7" s="80">
        <v>499</v>
      </c>
      <c r="B7" s="23" t="s">
        <v>164</v>
      </c>
      <c r="C7" s="29">
        <v>33000</v>
      </c>
      <c r="D7" s="68"/>
      <c r="E7" s="67"/>
      <c r="F7" s="29">
        <f>Tabela7[[#This Row],[soma]]-Tabela7[[#This Row],[usou 13/02]]-Tabela7[[#This Row],[usou 2]]</f>
        <v>33000</v>
      </c>
      <c r="G7" s="60">
        <v>13740</v>
      </c>
      <c r="H7" s="49">
        <f>Tabela7[[#This Row],[soma final]]/(Tabela7[[#This Row],[media]])</f>
        <v>2.4017467248908297</v>
      </c>
      <c r="I7" s="22"/>
      <c r="J7" s="55">
        <f>Tabela7[[#This Row],[obs:]]+Tabela7[[#This Row],[soma final]]</f>
        <v>33000</v>
      </c>
      <c r="K7" s="49">
        <f>Tabela7[[#This Row],[saldo novo]]/Tabela7[[#This Row],[media]]</f>
        <v>2.4017467248908297</v>
      </c>
      <c r="L7"/>
      <c r="M7"/>
    </row>
    <row r="8" spans="1:13" ht="15.75" thickBot="1" x14ac:dyDescent="0.3">
      <c r="A8" s="79">
        <v>471</v>
      </c>
      <c r="B8" s="23" t="s">
        <v>39</v>
      </c>
      <c r="C8" s="28">
        <v>103600</v>
      </c>
      <c r="D8" s="68"/>
      <c r="E8" s="68"/>
      <c r="F8" s="28">
        <f>Tabela7[[#This Row],[soma]]-Tabela7[[#This Row],[usou 13/02]]-Tabela7[[#This Row],[usou 2]]</f>
        <v>103600</v>
      </c>
      <c r="G8" s="37">
        <v>60748</v>
      </c>
      <c r="H8" s="49">
        <f>Tabela7[[#This Row],[soma final]]/(Tabela7[[#This Row],[media]])</f>
        <v>1.7054059392901824</v>
      </c>
      <c r="I8" s="43">
        <v>150000</v>
      </c>
      <c r="J8" s="50">
        <f>Tabela7[[#This Row],[obs:]]+Tabela7[[#This Row],[soma final]]</f>
        <v>253600</v>
      </c>
      <c r="K8" s="49">
        <f>Tabela7[[#This Row],[saldo novo]]/Tabela7[[#This Row],[media]]</f>
        <v>4.1746230328570491</v>
      </c>
      <c r="L8"/>
      <c r="M8"/>
    </row>
    <row r="9" spans="1:13" ht="15.75" thickBot="1" x14ac:dyDescent="0.3">
      <c r="A9" s="80">
        <v>492</v>
      </c>
      <c r="B9" s="24" t="s">
        <v>2</v>
      </c>
      <c r="C9" s="29">
        <v>59864</v>
      </c>
      <c r="D9" s="68"/>
      <c r="E9" s="69"/>
      <c r="F9" s="29">
        <f>Tabela7[[#This Row],[soma]]-Tabela7[[#This Row],[usou 13/02]]-Tabela7[[#This Row],[usou 2]]</f>
        <v>59864</v>
      </c>
      <c r="G9" s="38">
        <v>37163</v>
      </c>
      <c r="H9" s="49">
        <f>Tabela7[[#This Row],[soma final]]/(Tabela7[[#This Row],[media]])</f>
        <v>1.6108495008476174</v>
      </c>
      <c r="I9" s="44">
        <v>240000</v>
      </c>
      <c r="J9" s="50">
        <f>Tabela7[[#This Row],[obs:]]+Tabela7[[#This Row],[soma final]]</f>
        <v>299864</v>
      </c>
      <c r="K9" s="49">
        <f>Tabela7[[#This Row],[saldo novo]]/Tabela7[[#This Row],[media]]</f>
        <v>8.0688857196674117</v>
      </c>
      <c r="L9"/>
      <c r="M9"/>
    </row>
    <row r="10" spans="1:13" ht="15.75" thickBot="1" x14ac:dyDescent="0.3">
      <c r="A10" s="79">
        <v>472</v>
      </c>
      <c r="B10" s="23" t="s">
        <v>26</v>
      </c>
      <c r="C10" s="28">
        <v>1900450</v>
      </c>
      <c r="D10" s="68"/>
      <c r="E10" s="68"/>
      <c r="F10" s="28">
        <f>Tabela7[[#This Row],[soma]]-Tabela7[[#This Row],[usou 13/02]]-Tabela7[[#This Row],[usou 2]]</f>
        <v>1900450</v>
      </c>
      <c r="G10" s="37">
        <v>783062</v>
      </c>
      <c r="H10" s="49">
        <f>Tabela7[[#This Row],[soma final]]/(Tabela7[[#This Row],[media]])</f>
        <v>2.4269470361222996</v>
      </c>
      <c r="I10" s="43">
        <v>1500000</v>
      </c>
      <c r="J10" s="50">
        <f>Tabela7[[#This Row],[obs:]]+Tabela7[[#This Row],[soma final]]</f>
        <v>3400450</v>
      </c>
      <c r="K10" s="49">
        <f>Tabela7[[#This Row],[saldo novo]]/Tabela7[[#This Row],[media]]</f>
        <v>4.3425041695293602</v>
      </c>
      <c r="L10"/>
      <c r="M10"/>
    </row>
    <row r="11" spans="1:13" ht="15.75" thickBot="1" x14ac:dyDescent="0.3">
      <c r="A11" s="80">
        <v>1291</v>
      </c>
      <c r="B11" s="23" t="s">
        <v>30</v>
      </c>
      <c r="C11" s="29">
        <v>458400</v>
      </c>
      <c r="D11" s="68"/>
      <c r="E11" s="69"/>
      <c r="F11" s="29">
        <f>Tabela7[[#This Row],[soma]]-Tabela7[[#This Row],[usou 13/02]]-Tabela7[[#This Row],[usou 2]]</f>
        <v>458400</v>
      </c>
      <c r="G11" s="38">
        <v>217914</v>
      </c>
      <c r="H11" s="49">
        <f>Tabela7[[#This Row],[soma final]]/(Tabela7[[#This Row],[media]])</f>
        <v>2.1035821470855476</v>
      </c>
      <c r="I11" s="44">
        <v>650000</v>
      </c>
      <c r="J11" s="50">
        <f>Tabela7[[#This Row],[obs:]]+Tabela7[[#This Row],[soma final]]</f>
        <v>1108400</v>
      </c>
      <c r="K11" s="49">
        <f>Tabela7[[#This Row],[saldo novo]]/Tabela7[[#This Row],[media]]</f>
        <v>5.0864102352304119</v>
      </c>
      <c r="L11"/>
      <c r="M11"/>
    </row>
    <row r="12" spans="1:13" ht="15.75" thickBot="1" x14ac:dyDescent="0.3">
      <c r="A12" s="80">
        <v>575</v>
      </c>
      <c r="B12" s="23" t="s">
        <v>38</v>
      </c>
      <c r="C12" s="29">
        <v>94470</v>
      </c>
      <c r="D12" s="68"/>
      <c r="E12" s="69"/>
      <c r="F12" s="29">
        <f>Tabela7[[#This Row],[soma]]-Tabela7[[#This Row],[usou 13/02]]-Tabela7[[#This Row],[usou 2]]</f>
        <v>94470</v>
      </c>
      <c r="G12" s="38">
        <v>37392</v>
      </c>
      <c r="H12" s="49">
        <f>Tabela7[[#This Row],[soma final]]/(Tabela7[[#This Row],[media]])</f>
        <v>2.5264762516046213</v>
      </c>
      <c r="I12" s="44">
        <v>80000</v>
      </c>
      <c r="J12" s="50">
        <f>Tabela7[[#This Row],[obs:]]+Tabela7[[#This Row],[soma final]]</f>
        <v>174470</v>
      </c>
      <c r="K12" s="49">
        <f>Tabela7[[#This Row],[saldo novo]]/Tabela7[[#This Row],[media]]</f>
        <v>4.665971330765939</v>
      </c>
      <c r="L12"/>
      <c r="M12"/>
    </row>
    <row r="13" spans="1:13" ht="15.75" thickBot="1" x14ac:dyDescent="0.3">
      <c r="A13" s="81">
        <v>493</v>
      </c>
      <c r="B13" s="26" t="s">
        <v>3</v>
      </c>
      <c r="C13" s="28">
        <v>343809</v>
      </c>
      <c r="D13" s="68"/>
      <c r="E13" s="68"/>
      <c r="F13" s="28">
        <f>Tabela7[[#This Row],[soma]]-Tabela7[[#This Row],[usou 13/02]]-Tabela7[[#This Row],[usou 2]]</f>
        <v>343809</v>
      </c>
      <c r="G13" s="37">
        <v>127982</v>
      </c>
      <c r="H13" s="49">
        <f>Tabela7[[#This Row],[soma final]]/(Tabela7[[#This Row],[media]])</f>
        <v>2.6863855854729572</v>
      </c>
      <c r="I13" s="47">
        <v>275000</v>
      </c>
      <c r="J13" s="50">
        <f>Tabela7[[#This Row],[obs:]]+Tabela7[[#This Row],[soma final]]</f>
        <v>618809</v>
      </c>
      <c r="K13" s="49">
        <f>Tabela7[[#This Row],[saldo novo]]/Tabela7[[#This Row],[media]]</f>
        <v>4.8351252519885612</v>
      </c>
      <c r="L13"/>
      <c r="M13"/>
    </row>
    <row r="14" spans="1:13" ht="15.75" thickBot="1" x14ac:dyDescent="0.3">
      <c r="A14" s="80">
        <v>496</v>
      </c>
      <c r="B14" s="23" t="s">
        <v>161</v>
      </c>
      <c r="C14" s="29">
        <v>11000</v>
      </c>
      <c r="D14" s="68"/>
      <c r="E14" s="67"/>
      <c r="F14" s="29">
        <f>Tabela7[[#This Row],[soma]]-Tabela7[[#This Row],[usou 13/02]]-Tabela7[[#This Row],[usou 2]]</f>
        <v>11000</v>
      </c>
      <c r="G14" s="60">
        <v>3416</v>
      </c>
      <c r="H14" s="49">
        <f>Tabela7[[#This Row],[soma final]]/(Tabela7[[#This Row],[media]])</f>
        <v>3.2201405152224822</v>
      </c>
      <c r="I14" s="22"/>
      <c r="J14" s="55">
        <f>Tabela7[[#This Row],[obs:]]+Tabela7[[#This Row],[soma final]]</f>
        <v>11000</v>
      </c>
      <c r="K14" s="49">
        <f>Tabela7[[#This Row],[saldo novo]]/Tabela7[[#This Row],[media]]</f>
        <v>3.2201405152224822</v>
      </c>
      <c r="L14"/>
      <c r="M14"/>
    </row>
    <row r="15" spans="1:13" ht="15.75" thickBot="1" x14ac:dyDescent="0.3">
      <c r="A15" s="80">
        <v>515</v>
      </c>
      <c r="B15" s="23" t="s">
        <v>166</v>
      </c>
      <c r="C15" s="29">
        <v>5500</v>
      </c>
      <c r="D15" s="68"/>
      <c r="E15" s="67"/>
      <c r="F15" s="29">
        <f>Tabela7[[#This Row],[soma]]-Tabela7[[#This Row],[usou 13/02]]-Tabela7[[#This Row],[usou 2]]</f>
        <v>5500</v>
      </c>
      <c r="G15" s="60">
        <v>1703</v>
      </c>
      <c r="H15" s="49">
        <f>Tabela7[[#This Row],[soma final]]/(Tabela7[[#This Row],[media]])</f>
        <v>3.2295948326482677</v>
      </c>
      <c r="I15" s="22"/>
      <c r="J15" s="55">
        <f>Tabela7[[#This Row],[obs:]]+Tabela7[[#This Row],[soma final]]</f>
        <v>5500</v>
      </c>
      <c r="K15" s="49">
        <f>Tabela7[[#This Row],[saldo novo]]/Tabela7[[#This Row],[media]]</f>
        <v>3.2295948326482677</v>
      </c>
      <c r="L15"/>
      <c r="M15"/>
    </row>
    <row r="16" spans="1:13" ht="15.75" thickBot="1" x14ac:dyDescent="0.3">
      <c r="A16" s="80">
        <v>497</v>
      </c>
      <c r="B16" s="23" t="s">
        <v>162</v>
      </c>
      <c r="C16" s="29">
        <v>33000</v>
      </c>
      <c r="D16" s="68"/>
      <c r="E16" s="67"/>
      <c r="F16" s="29">
        <f>Tabela7[[#This Row],[soma]]-Tabela7[[#This Row],[usou 13/02]]-Tabela7[[#This Row],[usou 2]]</f>
        <v>33000</v>
      </c>
      <c r="G16" s="60">
        <v>9671</v>
      </c>
      <c r="H16" s="49">
        <f>Tabela7[[#This Row],[soma final]]/(Tabela7[[#This Row],[media]])</f>
        <v>3.4122634681005066</v>
      </c>
      <c r="I16" s="22"/>
      <c r="J16" s="55">
        <f>Tabela7[[#This Row],[obs:]]+Tabela7[[#This Row],[soma final]]</f>
        <v>33000</v>
      </c>
      <c r="K16" s="49">
        <f>Tabela7[[#This Row],[saldo novo]]/Tabela7[[#This Row],[media]]</f>
        <v>3.4122634681005066</v>
      </c>
      <c r="L16"/>
      <c r="M16"/>
    </row>
    <row r="17" spans="1:13" ht="15.75" thickBot="1" x14ac:dyDescent="0.3">
      <c r="A17" s="80">
        <v>517</v>
      </c>
      <c r="B17" s="23" t="s">
        <v>168</v>
      </c>
      <c r="C17" s="29">
        <v>11000</v>
      </c>
      <c r="D17" s="68"/>
      <c r="E17" s="67"/>
      <c r="F17" s="29">
        <f>Tabela7[[#This Row],[soma]]-Tabela7[[#This Row],[usou 13/02]]-Tabela7[[#This Row],[usou 2]]</f>
        <v>11000</v>
      </c>
      <c r="G17" s="60">
        <v>3154</v>
      </c>
      <c r="H17" s="49">
        <f>Tabela7[[#This Row],[soma final]]/(Tabela7[[#This Row],[media]])</f>
        <v>3.4876347495244135</v>
      </c>
      <c r="I17" s="22"/>
      <c r="J17" s="55">
        <f>Tabela7[[#This Row],[obs:]]+Tabela7[[#This Row],[soma final]]</f>
        <v>11000</v>
      </c>
      <c r="K17" s="49">
        <f>Tabela7[[#This Row],[saldo novo]]/Tabela7[[#This Row],[media]]</f>
        <v>3.4876347495244135</v>
      </c>
      <c r="L17"/>
      <c r="M17"/>
    </row>
    <row r="18" spans="1:13" ht="15.75" thickBot="1" x14ac:dyDescent="0.3">
      <c r="A18" s="80">
        <v>524</v>
      </c>
      <c r="B18" s="23" t="s">
        <v>171</v>
      </c>
      <c r="C18" s="29">
        <v>14380</v>
      </c>
      <c r="D18" s="68"/>
      <c r="E18" s="67"/>
      <c r="F18" s="29">
        <f>Tabela7[[#This Row],[soma]]-Tabela7[[#This Row],[usou 13/02]]-Tabela7[[#This Row],[usou 2]]</f>
        <v>14380</v>
      </c>
      <c r="G18" s="60">
        <v>4079</v>
      </c>
      <c r="H18" s="49">
        <f>Tabela7[[#This Row],[soma final]]/(Tabela7[[#This Row],[media]])</f>
        <v>3.5253738661436627</v>
      </c>
      <c r="I18" s="22"/>
      <c r="J18" s="55">
        <f>Tabela7[[#This Row],[obs:]]+Tabela7[[#This Row],[soma final]]</f>
        <v>14380</v>
      </c>
      <c r="K18" s="49">
        <f>Tabela7[[#This Row],[saldo novo]]/Tabela7[[#This Row],[media]]</f>
        <v>3.5253738661436627</v>
      </c>
      <c r="L18"/>
      <c r="M18"/>
    </row>
    <row r="19" spans="1:13" ht="15.75" thickBot="1" x14ac:dyDescent="0.3">
      <c r="A19" s="80">
        <v>523</v>
      </c>
      <c r="B19" s="23" t="s">
        <v>170</v>
      </c>
      <c r="C19" s="29">
        <v>13200</v>
      </c>
      <c r="D19" s="68"/>
      <c r="E19" s="67"/>
      <c r="F19" s="29">
        <f>Tabela7[[#This Row],[soma]]-Tabela7[[#This Row],[usou 13/02]]-Tabela7[[#This Row],[usou 2]]</f>
        <v>13200</v>
      </c>
      <c r="G19" s="60">
        <v>3739</v>
      </c>
      <c r="H19" s="49">
        <f>Tabela7[[#This Row],[soma final]]/(Tabela7[[#This Row],[media]])</f>
        <v>3.5303557100829099</v>
      </c>
      <c r="I19" s="22"/>
      <c r="J19" s="55">
        <f>Tabela7[[#This Row],[obs:]]+Tabela7[[#This Row],[soma final]]</f>
        <v>13200</v>
      </c>
      <c r="K19" s="49">
        <f>Tabela7[[#This Row],[saldo novo]]/Tabela7[[#This Row],[media]]</f>
        <v>3.5303557100829099</v>
      </c>
      <c r="L19"/>
      <c r="M19"/>
    </row>
    <row r="20" spans="1:13" ht="15.75" thickBot="1" x14ac:dyDescent="0.3">
      <c r="A20" s="80">
        <v>525</v>
      </c>
      <c r="B20" s="23" t="s">
        <v>172</v>
      </c>
      <c r="C20" s="29">
        <v>15670</v>
      </c>
      <c r="D20" s="68"/>
      <c r="E20" s="67"/>
      <c r="F20" s="29">
        <f>Tabela7[[#This Row],[soma]]-Tabela7[[#This Row],[usou 13/02]]-Tabela7[[#This Row],[usou 2]]</f>
        <v>15670</v>
      </c>
      <c r="G20" s="60">
        <v>4360</v>
      </c>
      <c r="H20" s="49">
        <f>Tabela7[[#This Row],[soma final]]/(Tabela7[[#This Row],[media]])</f>
        <v>3.5940366972477062</v>
      </c>
      <c r="I20" s="22"/>
      <c r="J20" s="55">
        <f>Tabela7[[#This Row],[obs:]]+Tabela7[[#This Row],[soma final]]</f>
        <v>15670</v>
      </c>
      <c r="K20" s="49">
        <f>Tabela7[[#This Row],[saldo novo]]/Tabela7[[#This Row],[media]]</f>
        <v>3.5940366972477062</v>
      </c>
      <c r="L20"/>
      <c r="M20"/>
    </row>
    <row r="21" spans="1:13" ht="15.75" thickBot="1" x14ac:dyDescent="0.3">
      <c r="A21" s="80">
        <v>522</v>
      </c>
      <c r="B21" s="23" t="s">
        <v>169</v>
      </c>
      <c r="C21" s="29">
        <v>6600</v>
      </c>
      <c r="D21" s="68"/>
      <c r="E21" s="67"/>
      <c r="F21" s="29">
        <f>Tabela7[[#This Row],[soma]]-Tabela7[[#This Row],[usou 13/02]]-Tabela7[[#This Row],[usou 2]]</f>
        <v>6600</v>
      </c>
      <c r="G21" s="60">
        <v>1685</v>
      </c>
      <c r="H21" s="49">
        <f>Tabela7[[#This Row],[soma final]]/(Tabela7[[#This Row],[media]])</f>
        <v>3.9169139465875369</v>
      </c>
      <c r="I21" s="22"/>
      <c r="J21" s="55">
        <f>Tabela7[[#This Row],[obs:]]+Tabela7[[#This Row],[soma final]]</f>
        <v>6600</v>
      </c>
      <c r="K21" s="49">
        <f>Tabela7[[#This Row],[saldo novo]]/Tabela7[[#This Row],[media]]</f>
        <v>3.9169139465875369</v>
      </c>
      <c r="L21"/>
      <c r="M21"/>
    </row>
    <row r="22" spans="1:13" ht="15.75" thickBot="1" x14ac:dyDescent="0.3">
      <c r="A22" s="80">
        <v>498</v>
      </c>
      <c r="B22" s="23" t="s">
        <v>163</v>
      </c>
      <c r="C22" s="29">
        <v>31670</v>
      </c>
      <c r="D22" s="68"/>
      <c r="E22" s="67"/>
      <c r="F22" s="29">
        <f>Tabela7[[#This Row],[soma]]-Tabela7[[#This Row],[usou 13/02]]-Tabela7[[#This Row],[usou 2]]</f>
        <v>31670</v>
      </c>
      <c r="G22" s="60">
        <v>7863</v>
      </c>
      <c r="H22" s="49">
        <f>Tabela7[[#This Row],[soma final]]/(Tabela7[[#This Row],[media]])</f>
        <v>4.0277247869769806</v>
      </c>
      <c r="I22" s="22"/>
      <c r="J22" s="55">
        <f>Tabela7[[#This Row],[obs:]]+Tabela7[[#This Row],[soma final]]</f>
        <v>31670</v>
      </c>
      <c r="K22" s="49">
        <f>Tabela7[[#This Row],[saldo novo]]/Tabela7[[#This Row],[media]]</f>
        <v>4.0277247869769806</v>
      </c>
      <c r="L22"/>
      <c r="M22"/>
    </row>
    <row r="23" spans="1:13" ht="15.75" thickBot="1" x14ac:dyDescent="0.3">
      <c r="A23" s="80">
        <v>516</v>
      </c>
      <c r="B23" s="23" t="s">
        <v>167</v>
      </c>
      <c r="C23" s="29">
        <v>11000</v>
      </c>
      <c r="D23" s="68"/>
      <c r="E23" s="67"/>
      <c r="F23" s="29">
        <f>Tabela7[[#This Row],[soma]]-Tabela7[[#This Row],[usou 13/02]]-Tabela7[[#This Row],[usou 2]]</f>
        <v>11000</v>
      </c>
      <c r="G23" s="60">
        <v>2604</v>
      </c>
      <c r="H23" s="49">
        <f>Tabela7[[#This Row],[soma final]]/(Tabela7[[#This Row],[media]])</f>
        <v>4.2242703533026118</v>
      </c>
      <c r="I23" s="22"/>
      <c r="J23" s="55">
        <f>Tabela7[[#This Row],[obs:]]+Tabela7[[#This Row],[soma final]]</f>
        <v>11000</v>
      </c>
      <c r="K23" s="49">
        <f>Tabela7[[#This Row],[saldo novo]]/Tabela7[[#This Row],[media]]</f>
        <v>4.2242703533026118</v>
      </c>
      <c r="L23"/>
      <c r="M23"/>
    </row>
    <row r="24" spans="1:13" ht="15.75" thickBot="1" x14ac:dyDescent="0.3">
      <c r="A24" s="80">
        <v>1508</v>
      </c>
      <c r="B24" s="24" t="s">
        <v>177</v>
      </c>
      <c r="C24" s="29">
        <v>9750</v>
      </c>
      <c r="D24" s="68"/>
      <c r="E24" s="66"/>
      <c r="F24" s="29">
        <f>Tabela7[[#This Row],[soma]]-Tabela7[[#This Row],[usou 13/02]]-Tabela7[[#This Row],[usou 2]]</f>
        <v>9750</v>
      </c>
      <c r="G24" s="39">
        <v>2000</v>
      </c>
      <c r="H24" s="49">
        <f>Tabela7[[#This Row],[soma final]]/(Tabela7[[#This Row],[media]])</f>
        <v>4.875</v>
      </c>
      <c r="I24" s="42">
        <v>20000</v>
      </c>
      <c r="J24" s="50">
        <f>Tabela7[[#This Row],[obs:]]+Tabela7[[#This Row],[soma final]]</f>
        <v>29750</v>
      </c>
      <c r="K24" s="49">
        <f>Tabela7[[#This Row],[saldo novo]]/Tabela7[[#This Row],[media]]</f>
        <v>14.875</v>
      </c>
      <c r="L24"/>
      <c r="M24"/>
    </row>
    <row r="25" spans="1:13" ht="15.75" thickBot="1" x14ac:dyDescent="0.3">
      <c r="A25" s="79">
        <v>521</v>
      </c>
      <c r="B25" s="24" t="s">
        <v>21</v>
      </c>
      <c r="C25" s="28">
        <v>85000</v>
      </c>
      <c r="D25" s="68"/>
      <c r="E25" s="68"/>
      <c r="F25" s="28">
        <f>Tabela7[[#This Row],[soma]]-Tabela7[[#This Row],[usou 13/02]]-Tabela7[[#This Row],[usou 2]]</f>
        <v>85000</v>
      </c>
      <c r="G25" s="37">
        <v>15399</v>
      </c>
      <c r="H25" s="49">
        <f>Tabela7[[#This Row],[soma final]]/(Tabela7[[#This Row],[media]])</f>
        <v>5.5198389505812067</v>
      </c>
      <c r="I25" s="43"/>
      <c r="J25" s="50">
        <f>Tabela7[[#This Row],[obs:]]+Tabela7[[#This Row],[soma final]]</f>
        <v>85000</v>
      </c>
      <c r="K25" s="49">
        <f>Tabela7[[#This Row],[saldo novo]]/Tabela7[[#This Row],[media]]</f>
        <v>5.5198389505812067</v>
      </c>
      <c r="L25"/>
      <c r="M25"/>
    </row>
    <row r="26" spans="1:13" ht="15.75" thickBot="1" x14ac:dyDescent="0.3">
      <c r="A26" s="81">
        <v>1416</v>
      </c>
      <c r="B26" s="30" t="s">
        <v>29</v>
      </c>
      <c r="C26" s="28">
        <v>274786</v>
      </c>
      <c r="D26" s="68"/>
      <c r="E26" s="68"/>
      <c r="F26" s="28">
        <f>Tabela7[[#This Row],[soma]]-Tabela7[[#This Row],[usou 13/02]]-Tabela7[[#This Row],[usou 2]]</f>
        <v>274786</v>
      </c>
      <c r="G26" s="37">
        <v>30606</v>
      </c>
      <c r="H26" s="49">
        <f>Tabela7[[#This Row],[soma final]]/(Tabela7[[#This Row],[media]])</f>
        <v>8.9781742142063656</v>
      </c>
      <c r="I26" s="43"/>
      <c r="J26" s="50">
        <f>Tabela7[[#This Row],[obs:]]+Tabela7[[#This Row],[soma final]]</f>
        <v>274786</v>
      </c>
      <c r="K26" s="49">
        <f>Tabela7[[#This Row],[saldo novo]]/Tabela7[[#This Row],[media]]</f>
        <v>8.9781742142063656</v>
      </c>
      <c r="L26"/>
      <c r="M26"/>
    </row>
    <row r="27" spans="1:13" ht="15.75" thickBot="1" x14ac:dyDescent="0.3">
      <c r="A27" s="80">
        <v>1293</v>
      </c>
      <c r="B27" s="23" t="s">
        <v>43</v>
      </c>
      <c r="C27" s="29">
        <v>213360</v>
      </c>
      <c r="D27" s="68"/>
      <c r="E27" s="69"/>
      <c r="F27" s="29">
        <f>Tabela7[[#This Row],[soma]]-Tabela7[[#This Row],[usou 13/02]]-Tabela7[[#This Row],[usou 2]]</f>
        <v>213360</v>
      </c>
      <c r="G27" s="38">
        <v>25470</v>
      </c>
      <c r="H27" s="49">
        <f>Tabela7[[#This Row],[soma final]]/(Tabela7[[#This Row],[media]])</f>
        <v>8.3769140164899873</v>
      </c>
      <c r="I27" s="44"/>
      <c r="J27" s="50">
        <f>Tabela7[[#This Row],[obs:]]+Tabela7[[#This Row],[soma final]]</f>
        <v>213360</v>
      </c>
      <c r="K27" s="49">
        <f>Tabela7[[#This Row],[saldo novo]]/Tabela7[[#This Row],[media]]</f>
        <v>8.3769140164899873</v>
      </c>
      <c r="L27"/>
      <c r="M27"/>
    </row>
    <row r="28" spans="1:13" ht="15.75" thickBot="1" x14ac:dyDescent="0.3">
      <c r="A28" s="80">
        <v>1418</v>
      </c>
      <c r="B28" s="23" t="s">
        <v>41</v>
      </c>
      <c r="C28" s="29">
        <v>67614</v>
      </c>
      <c r="D28" s="68"/>
      <c r="E28" s="69"/>
      <c r="F28" s="29">
        <f>Tabela7[[#This Row],[soma]]-Tabela7[[#This Row],[usou 13/02]]-Tabela7[[#This Row],[usou 2]]</f>
        <v>67614</v>
      </c>
      <c r="G28" s="38">
        <v>6725</v>
      </c>
      <c r="H28" s="49">
        <f>Tabela7[[#This Row],[soma final]]/(Tabela7[[#This Row],[media]])</f>
        <v>10.054126394052044</v>
      </c>
      <c r="I28" s="44"/>
      <c r="J28" s="50">
        <f>Tabela7[[#This Row],[obs:]]+Tabela7[[#This Row],[soma final]]</f>
        <v>67614</v>
      </c>
      <c r="K28" s="49">
        <f>Tabela7[[#This Row],[saldo novo]]/Tabela7[[#This Row],[media]]</f>
        <v>10.054126394052044</v>
      </c>
      <c r="L28"/>
      <c r="M28"/>
    </row>
    <row r="29" spans="1:13" ht="15.75" thickBot="1" x14ac:dyDescent="0.3">
      <c r="A29" s="81">
        <v>1419</v>
      </c>
      <c r="B29" s="30" t="s">
        <v>42</v>
      </c>
      <c r="C29" s="29">
        <v>81280</v>
      </c>
      <c r="D29" s="68"/>
      <c r="E29" s="69"/>
      <c r="F29" s="29">
        <f>Tabela7[[#This Row],[soma]]-Tabela7[[#This Row],[usou 13/02]]-Tabela7[[#This Row],[usou 2]]</f>
        <v>81280</v>
      </c>
      <c r="G29" s="38">
        <v>7146</v>
      </c>
      <c r="H29" s="49">
        <f>Tabela7[[#This Row],[soma final]]/(Tabela7[[#This Row],[media]])</f>
        <v>11.37419535404422</v>
      </c>
      <c r="I29" s="44"/>
      <c r="J29" s="50">
        <f>Tabela7[[#This Row],[obs:]]+Tabela7[[#This Row],[soma final]]</f>
        <v>81280</v>
      </c>
      <c r="K29" s="49">
        <f>Tabela7[[#This Row],[saldo novo]]/Tabela7[[#This Row],[media]]</f>
        <v>11.37419535404422</v>
      </c>
      <c r="L29"/>
      <c r="M29"/>
    </row>
    <row r="30" spans="1:13" ht="15.75" thickBot="1" x14ac:dyDescent="0.3">
      <c r="A30" s="80">
        <v>1260</v>
      </c>
      <c r="B30" s="24" t="s">
        <v>176</v>
      </c>
      <c r="C30" s="29">
        <v>30000</v>
      </c>
      <c r="D30" s="68"/>
      <c r="E30" s="66"/>
      <c r="F30" s="29">
        <f>Tabela7[[#This Row],[soma]]-Tabela7[[#This Row],[usou 13/02]]-Tabela7[[#This Row],[usou 2]]</f>
        <v>30000</v>
      </c>
      <c r="G30" s="39">
        <v>3000</v>
      </c>
      <c r="H30" s="49">
        <f>Tabela7[[#This Row],[soma final]]/(Tabela7[[#This Row],[media]])</f>
        <v>10</v>
      </c>
      <c r="I30" s="46">
        <v>30000</v>
      </c>
      <c r="J30" s="50">
        <f>Tabela7[[#This Row],[obs:]]+Tabela7[[#This Row],[soma final]]</f>
        <v>60000</v>
      </c>
      <c r="K30" s="49">
        <f>Tabela7[[#This Row],[saldo novo]]/Tabela7[[#This Row],[media]]</f>
        <v>20</v>
      </c>
      <c r="L30"/>
      <c r="M30"/>
    </row>
    <row r="31" spans="1:13" ht="15.75" thickBot="1" x14ac:dyDescent="0.3">
      <c r="A31" s="81">
        <v>519</v>
      </c>
      <c r="B31" s="26" t="s">
        <v>19</v>
      </c>
      <c r="C31" s="28">
        <v>90000</v>
      </c>
      <c r="D31" s="68"/>
      <c r="E31" s="68"/>
      <c r="F31" s="28">
        <f>Tabela7[[#This Row],[soma]]-Tabela7[[#This Row],[usou 13/02]]-Tabela7[[#This Row],[usou 2]]</f>
        <v>90000</v>
      </c>
      <c r="G31" s="37">
        <v>8927</v>
      </c>
      <c r="H31" s="49">
        <f>Tabela7[[#This Row],[soma final]]/(Tabela7[[#This Row],[media]])</f>
        <v>10.081774392293044</v>
      </c>
      <c r="I31" s="43"/>
      <c r="J31" s="50">
        <f>Tabela7[[#This Row],[obs:]]+Tabela7[[#This Row],[soma final]]</f>
        <v>90000</v>
      </c>
      <c r="K31" s="49">
        <f>Tabela7[[#This Row],[saldo novo]]/Tabela7[[#This Row],[media]]</f>
        <v>10.081774392293044</v>
      </c>
      <c r="L31"/>
      <c r="M31"/>
    </row>
    <row r="32" spans="1:13" ht="15.75" thickBot="1" x14ac:dyDescent="0.3">
      <c r="A32" s="82">
        <v>512</v>
      </c>
      <c r="B32" s="31" t="s">
        <v>12</v>
      </c>
      <c r="C32" s="70">
        <v>123928</v>
      </c>
      <c r="D32" s="68"/>
      <c r="E32" s="69"/>
      <c r="F32" s="70">
        <f>Tabela7[[#This Row],[soma]]-Tabela7[[#This Row],[usou 13/02]]-Tabela7[[#This Row],[usou 2]]</f>
        <v>123928</v>
      </c>
      <c r="G32" s="38">
        <v>11759</v>
      </c>
      <c r="H32" s="49">
        <f>Tabela7[[#This Row],[soma final]]/(Tabela7[[#This Row],[media]])</f>
        <v>10.538991410834255</v>
      </c>
      <c r="I32" s="44"/>
      <c r="J32" s="50">
        <f>Tabela7[[#This Row],[obs:]]+Tabela7[[#This Row],[soma final]]</f>
        <v>123928</v>
      </c>
      <c r="K32" s="49">
        <f>Tabela7[[#This Row],[saldo novo]]/Tabela7[[#This Row],[media]]</f>
        <v>10.538991410834255</v>
      </c>
      <c r="L32"/>
      <c r="M32"/>
    </row>
    <row r="33" spans="1:13" ht="15.75" thickBot="1" x14ac:dyDescent="0.3">
      <c r="A33" s="81">
        <v>520</v>
      </c>
      <c r="B33" s="26" t="s">
        <v>20</v>
      </c>
      <c r="C33" s="28">
        <v>120000</v>
      </c>
      <c r="D33" s="68"/>
      <c r="E33" s="68"/>
      <c r="F33" s="28">
        <f>Tabela7[[#This Row],[soma]]-Tabela7[[#This Row],[usou 13/02]]-Tabela7[[#This Row],[usou 2]]</f>
        <v>120000</v>
      </c>
      <c r="G33" s="37">
        <v>11041</v>
      </c>
      <c r="H33" s="49">
        <f>Tabela7[[#This Row],[soma final]]/(Tabela7[[#This Row],[media]])</f>
        <v>10.86858074449778</v>
      </c>
      <c r="I33" s="43"/>
      <c r="J33" s="50">
        <f>Tabela7[[#This Row],[obs:]]+Tabela7[[#This Row],[soma final]]</f>
        <v>120000</v>
      </c>
      <c r="K33" s="49">
        <f>Tabela7[[#This Row],[saldo novo]]/Tabela7[[#This Row],[media]]</f>
        <v>10.86858074449778</v>
      </c>
      <c r="L33"/>
      <c r="M33"/>
    </row>
    <row r="34" spans="1:13" ht="15.75" thickBot="1" x14ac:dyDescent="0.3">
      <c r="A34" s="81">
        <v>513</v>
      </c>
      <c r="B34" s="26" t="s">
        <v>13</v>
      </c>
      <c r="C34" s="28">
        <v>203200</v>
      </c>
      <c r="D34" s="68"/>
      <c r="E34" s="68"/>
      <c r="F34" s="28">
        <f>Tabela7[[#This Row],[soma]]-Tabela7[[#This Row],[usou 13/02]]-Tabela7[[#This Row],[usou 2]]</f>
        <v>203200</v>
      </c>
      <c r="G34" s="37">
        <v>17542</v>
      </c>
      <c r="H34" s="49">
        <f>Tabela7[[#This Row],[soma final]]/(Tabela7[[#This Row],[media]])</f>
        <v>11.583627864553643</v>
      </c>
      <c r="I34" s="43"/>
      <c r="J34" s="50">
        <f>Tabela7[[#This Row],[obs:]]+Tabela7[[#This Row],[soma final]]</f>
        <v>203200</v>
      </c>
      <c r="K34" s="49">
        <f>Tabela7[[#This Row],[saldo novo]]/Tabela7[[#This Row],[media]]</f>
        <v>11.583627864553643</v>
      </c>
      <c r="L34"/>
      <c r="M34"/>
    </row>
    <row r="35" spans="1:13" ht="15.75" thickBot="1" x14ac:dyDescent="0.3">
      <c r="A35" s="80">
        <v>1507</v>
      </c>
      <c r="B35" s="24" t="s">
        <v>178</v>
      </c>
      <c r="C35" s="29">
        <v>13000</v>
      </c>
      <c r="D35" s="68"/>
      <c r="E35" s="66"/>
      <c r="F35" s="29">
        <f>Tabela7[[#This Row],[soma]]-Tabela7[[#This Row],[usou 13/02]]-Tabela7[[#This Row],[usou 2]]</f>
        <v>13000</v>
      </c>
      <c r="G35" s="39">
        <v>1000</v>
      </c>
      <c r="H35" s="49">
        <f>Tabela7[[#This Row],[soma final]]/(Tabela7[[#This Row],[media]])</f>
        <v>13</v>
      </c>
      <c r="I35" s="42">
        <v>10000</v>
      </c>
      <c r="J35" s="50">
        <f>Tabela7[[#This Row],[obs:]]+Tabela7[[#This Row],[soma final]]</f>
        <v>23000</v>
      </c>
      <c r="K35" s="49">
        <f>Tabela7[[#This Row],[saldo novo]]/Tabela7[[#This Row],[media]]</f>
        <v>23</v>
      </c>
      <c r="L35"/>
      <c r="M35"/>
    </row>
    <row r="36" spans="1:13" ht="15.75" thickBot="1" x14ac:dyDescent="0.3">
      <c r="A36" s="79">
        <v>1509</v>
      </c>
      <c r="B36" s="24" t="s">
        <v>179</v>
      </c>
      <c r="C36" s="28">
        <v>15000</v>
      </c>
      <c r="D36" s="68"/>
      <c r="E36" s="66"/>
      <c r="F36" s="28">
        <f>Tabela7[[#This Row],[soma]]-Tabela7[[#This Row],[usou 13/02]]-Tabela7[[#This Row],[usou 2]]</f>
        <v>15000</v>
      </c>
      <c r="G36" s="39">
        <v>1000</v>
      </c>
      <c r="H36" s="49">
        <f>Tabela7[[#This Row],[soma final]]/(Tabela7[[#This Row],[media]])</f>
        <v>15</v>
      </c>
      <c r="I36" s="45">
        <v>10000</v>
      </c>
      <c r="J36" s="50">
        <f>Tabela7[[#This Row],[obs:]]+Tabela7[[#This Row],[soma final]]</f>
        <v>25000</v>
      </c>
      <c r="K36" s="49">
        <f>Tabela7[[#This Row],[saldo novo]]/Tabela7[[#This Row],[media]]</f>
        <v>25</v>
      </c>
      <c r="L36"/>
      <c r="M36"/>
    </row>
    <row r="37" spans="1:13" ht="15.75" thickBot="1" x14ac:dyDescent="0.3">
      <c r="A37" s="80">
        <v>1510</v>
      </c>
      <c r="B37" s="24" t="s">
        <v>180</v>
      </c>
      <c r="C37" s="29">
        <v>17000</v>
      </c>
      <c r="D37" s="68"/>
      <c r="E37" s="66"/>
      <c r="F37" s="29">
        <f>Tabela7[[#This Row],[soma]]-Tabela7[[#This Row],[usou 13/02]]-Tabela7[[#This Row],[usou 2]]</f>
        <v>17000</v>
      </c>
      <c r="G37" s="39">
        <v>1000</v>
      </c>
      <c r="H37" s="49">
        <f>Tabela7[[#This Row],[soma final]]/(Tabela7[[#This Row],[media]])</f>
        <v>17</v>
      </c>
      <c r="I37" s="42">
        <v>10000</v>
      </c>
      <c r="J37" s="50">
        <f>Tabela7[[#This Row],[obs:]]+Tabela7[[#This Row],[soma final]]</f>
        <v>27000</v>
      </c>
      <c r="K37" s="49">
        <f>Tabela7[[#This Row],[saldo novo]]/Tabela7[[#This Row],[media]]</f>
        <v>27</v>
      </c>
      <c r="L37"/>
      <c r="M37"/>
    </row>
    <row r="38" spans="1:13" ht="15.75" thickBot="1" x14ac:dyDescent="0.3">
      <c r="A38" s="81">
        <v>1415</v>
      </c>
      <c r="B38" s="26" t="s">
        <v>27</v>
      </c>
      <c r="C38" s="28">
        <v>762860</v>
      </c>
      <c r="D38" s="68"/>
      <c r="E38" s="68"/>
      <c r="F38" s="28">
        <f>Tabela7[[#This Row],[soma]]-Tabela7[[#This Row],[usou 13/02]]-Tabela7[[#This Row],[usou 2]]</f>
        <v>762860</v>
      </c>
      <c r="G38" s="37">
        <v>44293</v>
      </c>
      <c r="H38" s="49">
        <f>Tabela7[[#This Row],[soma final]]/(Tabela7[[#This Row],[media]])</f>
        <v>17.22303750028221</v>
      </c>
      <c r="I38" s="43"/>
      <c r="J38" s="50">
        <f>Tabela7[[#This Row],[obs:]]+Tabela7[[#This Row],[soma final]]</f>
        <v>762860</v>
      </c>
      <c r="K38" s="49">
        <f>Tabela7[[#This Row],[saldo novo]]/Tabela7[[#This Row],[media]]</f>
        <v>17.22303750028221</v>
      </c>
      <c r="L38"/>
      <c r="M38"/>
    </row>
    <row r="39" spans="1:13" ht="15.75" thickBot="1" x14ac:dyDescent="0.3">
      <c r="A39" s="80">
        <v>1505</v>
      </c>
      <c r="B39" s="24" t="s">
        <v>181</v>
      </c>
      <c r="C39" s="29">
        <v>19250</v>
      </c>
      <c r="D39" s="68"/>
      <c r="E39" s="66"/>
      <c r="F39" s="29">
        <f>Tabela7[[#This Row],[soma]]-Tabela7[[#This Row],[usou 13/02]]-Tabela7[[#This Row],[usou 2]]</f>
        <v>19250</v>
      </c>
      <c r="G39" s="39">
        <v>1000</v>
      </c>
      <c r="H39" s="49">
        <f>Tabela7[[#This Row],[soma final]]/(Tabela7[[#This Row],[media]])</f>
        <v>19.25</v>
      </c>
      <c r="I39" s="42"/>
      <c r="J39" s="50">
        <f>Tabela7[[#This Row],[obs:]]+Tabela7[[#This Row],[soma final]]</f>
        <v>19250</v>
      </c>
      <c r="K39" s="49">
        <f>Tabela7[[#This Row],[saldo novo]]/Tabela7[[#This Row],[media]]</f>
        <v>19.25</v>
      </c>
      <c r="L39"/>
      <c r="M39"/>
    </row>
    <row r="40" spans="1:13" ht="15.75" thickBot="1" x14ac:dyDescent="0.3">
      <c r="A40" s="81">
        <v>511</v>
      </c>
      <c r="B40" s="26" t="s">
        <v>11</v>
      </c>
      <c r="C40" s="28">
        <v>147320</v>
      </c>
      <c r="D40" s="68"/>
      <c r="E40" s="68"/>
      <c r="F40" s="28">
        <f>Tabela7[[#This Row],[soma]]-Tabela7[[#This Row],[usou 13/02]]-Tabela7[[#This Row],[usou 2]]</f>
        <v>147320</v>
      </c>
      <c r="G40" s="37">
        <v>7565</v>
      </c>
      <c r="H40" s="49">
        <f>Tabela7[[#This Row],[soma final]]/(Tabela7[[#This Row],[media]])</f>
        <v>19.473892927957699</v>
      </c>
      <c r="I40" s="43"/>
      <c r="J40" s="50">
        <f>Tabela7[[#This Row],[obs:]]+Tabela7[[#This Row],[soma final]]</f>
        <v>147320</v>
      </c>
      <c r="K40" s="49">
        <f>Tabela7[[#This Row],[saldo novo]]/Tabela7[[#This Row],[media]]</f>
        <v>19.473892927957699</v>
      </c>
      <c r="L40"/>
      <c r="M40"/>
    </row>
    <row r="41" spans="1:13" ht="15.75" thickBot="1" x14ac:dyDescent="0.3">
      <c r="A41" s="80">
        <v>1511</v>
      </c>
      <c r="B41" s="24" t="s">
        <v>182</v>
      </c>
      <c r="C41" s="29">
        <v>20000</v>
      </c>
      <c r="D41" s="68"/>
      <c r="E41" s="66"/>
      <c r="F41" s="29">
        <f>Tabela7[[#This Row],[soma]]-Tabela7[[#This Row],[usou 13/02]]-Tabela7[[#This Row],[usou 2]]</f>
        <v>20000</v>
      </c>
      <c r="G41" s="39">
        <v>1000</v>
      </c>
      <c r="H41" s="49">
        <f>Tabela7[[#This Row],[soma final]]/(Tabela7[[#This Row],[media]])</f>
        <v>20</v>
      </c>
      <c r="I41" s="42"/>
      <c r="J41" s="50">
        <f>Tabela7[[#This Row],[obs:]]+Tabela7[[#This Row],[soma final]]</f>
        <v>20000</v>
      </c>
      <c r="K41" s="49">
        <f>Tabela7[[#This Row],[saldo novo]]/Tabela7[[#This Row],[media]]</f>
        <v>20</v>
      </c>
      <c r="L41"/>
      <c r="M41"/>
    </row>
    <row r="42" spans="1:13" ht="15.75" thickBot="1" x14ac:dyDescent="0.3">
      <c r="A42" s="79">
        <v>1513</v>
      </c>
      <c r="B42" s="24" t="s">
        <v>183</v>
      </c>
      <c r="C42" s="28">
        <v>20000</v>
      </c>
      <c r="D42" s="68"/>
      <c r="E42" s="66"/>
      <c r="F42" s="28">
        <f>Tabela7[[#This Row],[soma]]-Tabela7[[#This Row],[usou 13/02]]-Tabela7[[#This Row],[usou 2]]</f>
        <v>20000</v>
      </c>
      <c r="G42" s="39">
        <v>1000</v>
      </c>
      <c r="H42" s="49">
        <f>Tabela7[[#This Row],[soma final]]/(Tabela7[[#This Row],[media]])</f>
        <v>20</v>
      </c>
      <c r="I42" s="45"/>
      <c r="J42" s="50">
        <f>Tabela7[[#This Row],[obs:]]+Tabela7[[#This Row],[soma final]]</f>
        <v>20000</v>
      </c>
      <c r="K42" s="49">
        <f>Tabela7[[#This Row],[saldo novo]]/Tabela7[[#This Row],[media]]</f>
        <v>20</v>
      </c>
      <c r="L42"/>
      <c r="M42"/>
    </row>
    <row r="43" spans="1:13" ht="15.75" thickBot="1" x14ac:dyDescent="0.3">
      <c r="A43" s="81">
        <v>518</v>
      </c>
      <c r="B43" s="26" t="s">
        <v>18</v>
      </c>
      <c r="C43" s="29">
        <v>68361</v>
      </c>
      <c r="D43" s="68"/>
      <c r="E43" s="69"/>
      <c r="F43" s="29">
        <f>Tabela7[[#This Row],[soma]]-Tabela7[[#This Row],[usou 13/02]]-Tabela7[[#This Row],[usou 2]]</f>
        <v>68361</v>
      </c>
      <c r="G43" s="38">
        <v>3331</v>
      </c>
      <c r="H43" s="49">
        <f>Tabela7[[#This Row],[soma final]]/(Tabela7[[#This Row],[media]])</f>
        <v>20.522665866106273</v>
      </c>
      <c r="I43" s="44"/>
      <c r="J43" s="50">
        <f>Tabela7[[#This Row],[obs:]]+Tabela7[[#This Row],[soma final]]</f>
        <v>68361</v>
      </c>
      <c r="K43" s="49">
        <f>Tabela7[[#This Row],[saldo novo]]/Tabela7[[#This Row],[media]]</f>
        <v>20.522665866106273</v>
      </c>
      <c r="L43"/>
      <c r="M43"/>
    </row>
    <row r="44" spans="1:13" ht="15.75" thickBot="1" x14ac:dyDescent="0.3">
      <c r="A44" s="79">
        <v>1506</v>
      </c>
      <c r="B44" s="24" t="s">
        <v>184</v>
      </c>
      <c r="C44" s="28">
        <v>23250</v>
      </c>
      <c r="D44" s="68"/>
      <c r="E44" s="66"/>
      <c r="F44" s="28">
        <f>Tabela7[[#This Row],[soma]]-Tabela7[[#This Row],[usou 13/02]]-Tabela7[[#This Row],[usou 2]]</f>
        <v>23250</v>
      </c>
      <c r="G44" s="39">
        <v>1000</v>
      </c>
      <c r="H44" s="49">
        <f>Tabela7[[#This Row],[soma final]]/(Tabela7[[#This Row],[media]])</f>
        <v>23.25</v>
      </c>
      <c r="I44" s="45"/>
      <c r="J44" s="50">
        <f>Tabela7[[#This Row],[obs:]]+Tabela7[[#This Row],[soma final]]</f>
        <v>23250</v>
      </c>
      <c r="K44" s="49">
        <f>Tabela7[[#This Row],[saldo novo]]/Tabela7[[#This Row],[media]]</f>
        <v>23.25</v>
      </c>
      <c r="L44"/>
      <c r="M44"/>
    </row>
    <row r="45" spans="1:13" ht="15.75" thickBot="1" x14ac:dyDescent="0.3">
      <c r="A45" s="80">
        <v>1504</v>
      </c>
      <c r="B45" s="24" t="s">
        <v>185</v>
      </c>
      <c r="C45" s="29">
        <v>25000</v>
      </c>
      <c r="D45" s="68"/>
      <c r="E45" s="66"/>
      <c r="F45" s="29">
        <f>Tabela7[[#This Row],[soma]]-Tabela7[[#This Row],[usou 13/02]]-Tabela7[[#This Row],[usou 2]]</f>
        <v>25000</v>
      </c>
      <c r="G45" s="39">
        <v>1000</v>
      </c>
      <c r="H45" s="49">
        <f>Tabela7[[#This Row],[soma final]]/(Tabela7[[#This Row],[media]])</f>
        <v>25</v>
      </c>
      <c r="I45" s="42"/>
      <c r="J45" s="50">
        <f>Tabela7[[#This Row],[obs:]]+Tabela7[[#This Row],[soma final]]</f>
        <v>25000</v>
      </c>
      <c r="K45" s="49">
        <f>Tabela7[[#This Row],[saldo novo]]/Tabela7[[#This Row],[media]]</f>
        <v>25</v>
      </c>
      <c r="L45"/>
      <c r="M45"/>
    </row>
    <row r="46" spans="1:13" ht="15.75" thickBot="1" x14ac:dyDescent="0.3">
      <c r="A46" s="79">
        <v>1503</v>
      </c>
      <c r="B46" s="24" t="s">
        <v>186</v>
      </c>
      <c r="C46" s="28">
        <v>25750</v>
      </c>
      <c r="D46" s="68"/>
      <c r="E46" s="66"/>
      <c r="F46" s="28">
        <f>Tabela7[[#This Row],[soma]]-Tabela7[[#This Row],[usou 13/02]]-Tabela7[[#This Row],[usou 2]]</f>
        <v>25750</v>
      </c>
      <c r="G46" s="39">
        <v>1000</v>
      </c>
      <c r="H46" s="49">
        <f>Tabela7[[#This Row],[soma final]]/(Tabela7[[#This Row],[media]])</f>
        <v>25.75</v>
      </c>
      <c r="I46" s="45"/>
      <c r="J46" s="50">
        <f>Tabela7[[#This Row],[obs:]]+Tabela7[[#This Row],[soma final]]</f>
        <v>25750</v>
      </c>
      <c r="K46" s="49">
        <f>Tabela7[[#This Row],[saldo novo]]/Tabela7[[#This Row],[media]]</f>
        <v>25.75</v>
      </c>
      <c r="L46"/>
      <c r="M46"/>
    </row>
    <row r="47" spans="1:13" ht="15.75" thickBot="1" x14ac:dyDescent="0.3">
      <c r="A47" s="80">
        <v>1514</v>
      </c>
      <c r="B47" s="23" t="s">
        <v>33</v>
      </c>
      <c r="C47" s="29">
        <v>130495</v>
      </c>
      <c r="D47" s="68"/>
      <c r="E47" s="66"/>
      <c r="F47" s="29">
        <f>Tabela7[[#This Row],[soma]]-Tabela7[[#This Row],[usou 13/02]]-Tabela7[[#This Row],[usou 2]]</f>
        <v>130495</v>
      </c>
      <c r="G47" s="39">
        <v>5000</v>
      </c>
      <c r="H47" s="49">
        <f>Tabela7[[#This Row],[soma final]]/(Tabela7[[#This Row],[media]])</f>
        <v>26.099</v>
      </c>
      <c r="I47" s="42"/>
      <c r="J47" s="50">
        <f>Tabela7[[#This Row],[obs:]]+Tabela7[[#This Row],[soma final]]</f>
        <v>130495</v>
      </c>
      <c r="K47" s="49">
        <f>Tabela7[[#This Row],[saldo novo]]/Tabela7[[#This Row],[media]]</f>
        <v>26.099</v>
      </c>
      <c r="L47"/>
      <c r="M47"/>
    </row>
    <row r="48" spans="1:13" ht="15.75" thickBot="1" x14ac:dyDescent="0.3">
      <c r="A48" s="79">
        <v>1516</v>
      </c>
      <c r="B48" s="23" t="s">
        <v>34</v>
      </c>
      <c r="C48" s="28">
        <v>134845</v>
      </c>
      <c r="D48" s="68"/>
      <c r="E48" s="66"/>
      <c r="F48" s="28">
        <f>Tabela7[[#This Row],[soma]]-Tabela7[[#This Row],[usou 13/02]]-Tabela7[[#This Row],[usou 2]]</f>
        <v>134845</v>
      </c>
      <c r="G48" s="39">
        <v>5000</v>
      </c>
      <c r="H48" s="49">
        <f>Tabela7[[#This Row],[soma final]]/(Tabela7[[#This Row],[media]])</f>
        <v>26.969000000000001</v>
      </c>
      <c r="I48" s="45"/>
      <c r="J48" s="50">
        <f>Tabela7[[#This Row],[obs:]]+Tabela7[[#This Row],[soma final]]</f>
        <v>134845</v>
      </c>
      <c r="K48" s="49">
        <f>Tabela7[[#This Row],[saldo novo]]/Tabela7[[#This Row],[media]]</f>
        <v>26.969000000000001</v>
      </c>
      <c r="L48"/>
      <c r="M48"/>
    </row>
    <row r="49" spans="1:13" ht="15.75" thickBot="1" x14ac:dyDescent="0.3">
      <c r="A49" s="83">
        <v>1518</v>
      </c>
      <c r="B49" s="32" t="s">
        <v>35</v>
      </c>
      <c r="C49" s="29">
        <v>136897</v>
      </c>
      <c r="D49" s="68"/>
      <c r="E49" s="66"/>
      <c r="F49" s="29">
        <f>Tabela7[[#This Row],[soma]]-Tabela7[[#This Row],[usou 13/02]]-Tabela7[[#This Row],[usou 2]]</f>
        <v>136897</v>
      </c>
      <c r="G49" s="39">
        <v>5000</v>
      </c>
      <c r="H49" s="49">
        <f>Tabela7[[#This Row],[soma final]]/(Tabela7[[#This Row],[media]])</f>
        <v>27.3794</v>
      </c>
      <c r="I49" s="64"/>
      <c r="J49" s="50">
        <f>Tabela7[[#This Row],[obs:]]+Tabela7[[#This Row],[soma final]]</f>
        <v>136897</v>
      </c>
      <c r="K49" s="49">
        <f>Tabela7[[#This Row],[saldo novo]]/Tabela7[[#This Row],[media]]</f>
        <v>27.3794</v>
      </c>
      <c r="L49"/>
      <c r="M49"/>
    </row>
    <row r="50" spans="1:13" ht="15.75" thickBot="1" x14ac:dyDescent="0.3">
      <c r="A50" s="84">
        <v>1512</v>
      </c>
      <c r="B50" s="56" t="s">
        <v>187</v>
      </c>
      <c r="C50" s="59">
        <v>29000</v>
      </c>
      <c r="D50" s="68"/>
      <c r="E50" s="61"/>
      <c r="F50" s="59">
        <f>Tabela7[[#This Row],[soma]]-Tabela7[[#This Row],[usou 13/02]]-Tabela7[[#This Row],[usou 2]]</f>
        <v>29000</v>
      </c>
      <c r="G50" s="61">
        <v>1000</v>
      </c>
      <c r="H50" s="49">
        <f>Tabela7[[#This Row],[soma final]]/(Tabela7[[#This Row],[media]])</f>
        <v>29</v>
      </c>
      <c r="I50" s="45"/>
      <c r="J50" s="50">
        <f>Tabela7[[#This Row],[obs:]]+Tabela7[[#This Row],[soma final]]</f>
        <v>29000</v>
      </c>
      <c r="K50" s="49">
        <f>Tabela7[[#This Row],[saldo novo]]/Tabela7[[#This Row],[media]]</f>
        <v>29</v>
      </c>
      <c r="L50"/>
      <c r="M50"/>
    </row>
    <row r="51" spans="1:13" ht="15.75" thickBot="1" x14ac:dyDescent="0.3">
      <c r="A51" s="85">
        <v>1484</v>
      </c>
      <c r="B51" s="51" t="s">
        <v>44</v>
      </c>
      <c r="C51" s="52">
        <v>33270</v>
      </c>
      <c r="D51" s="68"/>
      <c r="E51" s="61"/>
      <c r="F51" s="52">
        <f>Tabela7[[#This Row],[soma]]-Tabela7[[#This Row],[usou 13/02]]-Tabela7[[#This Row],[usou 2]]</f>
        <v>33270</v>
      </c>
      <c r="G51" s="61">
        <v>1000</v>
      </c>
      <c r="H51" s="49">
        <f>Tabela7[[#This Row],[soma final]]/(Tabela7[[#This Row],[media]])</f>
        <v>33.270000000000003</v>
      </c>
      <c r="I51" s="42"/>
      <c r="J51" s="50">
        <f>Tabela7[[#This Row],[obs:]]+Tabela7[[#This Row],[soma final]]</f>
        <v>33270</v>
      </c>
      <c r="K51" s="49">
        <f>Tabela7[[#This Row],[saldo novo]]/Tabela7[[#This Row],[media]]</f>
        <v>33.270000000000003</v>
      </c>
      <c r="L51"/>
      <c r="M51"/>
    </row>
    <row r="52" spans="1:13" ht="15.75" thickBot="1" x14ac:dyDescent="0.3">
      <c r="A52" s="86">
        <v>1515</v>
      </c>
      <c r="B52" s="51" t="s">
        <v>46</v>
      </c>
      <c r="C52" s="59">
        <v>37578</v>
      </c>
      <c r="D52" s="68"/>
      <c r="E52" s="61"/>
      <c r="F52" s="59">
        <f>Tabela7[[#This Row],[soma]]-Tabela7[[#This Row],[usou 13/02]]-Tabela7[[#This Row],[usou 2]]</f>
        <v>37578</v>
      </c>
      <c r="G52" s="61">
        <v>1000</v>
      </c>
      <c r="H52" s="49">
        <f>Tabela7[[#This Row],[soma final]]/(Tabela7[[#This Row],[media]])</f>
        <v>37.578000000000003</v>
      </c>
      <c r="I52" s="45"/>
      <c r="J52" s="50">
        <f>Tabela7[[#This Row],[obs:]]+Tabela7[[#This Row],[soma final]]</f>
        <v>37578</v>
      </c>
      <c r="K52" s="49">
        <f>Tabela7[[#This Row],[saldo novo]]/Tabela7[[#This Row],[media]]</f>
        <v>37.578000000000003</v>
      </c>
      <c r="L52"/>
      <c r="M52"/>
    </row>
    <row r="53" spans="1:13" ht="15.75" thickBot="1" x14ac:dyDescent="0.3">
      <c r="A53" s="80">
        <v>1519</v>
      </c>
      <c r="B53" s="51" t="s">
        <v>48</v>
      </c>
      <c r="C53" s="52">
        <v>40528</v>
      </c>
      <c r="D53" s="68"/>
      <c r="E53" s="61"/>
      <c r="F53" s="52">
        <f>Tabela7[[#This Row],[soma]]-Tabela7[[#This Row],[usou 13/02]]-Tabela7[[#This Row],[usou 2]]</f>
        <v>40528</v>
      </c>
      <c r="G53" s="61">
        <v>1000</v>
      </c>
      <c r="H53" s="49">
        <f>Tabela7[[#This Row],[soma final]]/(Tabela7[[#This Row],[media]])</f>
        <v>40.527999999999999</v>
      </c>
      <c r="I53" s="42"/>
      <c r="J53" s="50">
        <f>Tabela7[[#This Row],[obs:]]+Tabela7[[#This Row],[soma final]]</f>
        <v>40528</v>
      </c>
      <c r="K53" s="49">
        <f>Tabela7[[#This Row],[saldo novo]]/Tabela7[[#This Row],[media]]</f>
        <v>40.527999999999999</v>
      </c>
      <c r="L53"/>
      <c r="M53"/>
    </row>
    <row r="54" spans="1:13" ht="15.75" thickBot="1" x14ac:dyDescent="0.3">
      <c r="A54" s="86">
        <v>1517</v>
      </c>
      <c r="B54" s="51" t="s">
        <v>47</v>
      </c>
      <c r="C54" s="59">
        <v>47370</v>
      </c>
      <c r="D54" s="68"/>
      <c r="E54" s="61"/>
      <c r="F54" s="59">
        <f>Tabela7[[#This Row],[soma]]-Tabela7[[#This Row],[usou 13/02]]-Tabela7[[#This Row],[usou 2]]</f>
        <v>47370</v>
      </c>
      <c r="G54" s="61">
        <v>1000</v>
      </c>
      <c r="H54" s="49">
        <f>Tabela7[[#This Row],[soma final]]/(Tabela7[[#This Row],[media]])</f>
        <v>47.37</v>
      </c>
      <c r="I54" s="45"/>
      <c r="J54" s="50">
        <f>Tabela7[[#This Row],[obs:]]+Tabela7[[#This Row],[soma final]]</f>
        <v>47370</v>
      </c>
      <c r="K54" s="49">
        <f>Tabela7[[#This Row],[saldo novo]]/Tabela7[[#This Row],[media]]</f>
        <v>47.37</v>
      </c>
      <c r="L54"/>
      <c r="M54"/>
    </row>
    <row r="55" spans="1:13" ht="15.75" thickBot="1" x14ac:dyDescent="0.3">
      <c r="A55" s="87">
        <v>1417</v>
      </c>
      <c r="B55" s="57" t="s">
        <v>40</v>
      </c>
      <c r="C55" s="59">
        <v>320818</v>
      </c>
      <c r="D55" s="68"/>
      <c r="E55" s="63"/>
      <c r="F55" s="59">
        <f>Tabela7[[#This Row],[soma]]-Tabela7[[#This Row],[usou 13/02]]-Tabela7[[#This Row],[usou 2]]</f>
        <v>320818</v>
      </c>
      <c r="G55" s="63">
        <v>7444</v>
      </c>
      <c r="H55" s="49">
        <f>Tabela7[[#This Row],[soma final]]/(Tabela7[[#This Row],[media]])</f>
        <v>43.097528210639439</v>
      </c>
      <c r="I55" s="43"/>
      <c r="J55" s="50">
        <f>Tabela7[[#This Row],[obs:]]+Tabela7[[#This Row],[soma final]]</f>
        <v>320818</v>
      </c>
      <c r="K55" s="49">
        <f>Tabela7[[#This Row],[saldo novo]]/Tabela7[[#This Row],[media]]</f>
        <v>43.097528210639439</v>
      </c>
      <c r="L55"/>
      <c r="M55"/>
    </row>
    <row r="56" spans="1:13" ht="15.75" thickBot="1" x14ac:dyDescent="0.3">
      <c r="A56" s="80">
        <v>1485</v>
      </c>
      <c r="B56" s="51" t="s">
        <v>45</v>
      </c>
      <c r="C56" s="52">
        <v>46607</v>
      </c>
      <c r="D56" s="68"/>
      <c r="E56" s="61"/>
      <c r="F56" s="52">
        <f>Tabela7[[#This Row],[soma]]-Tabela7[[#This Row],[usou 13/02]]-Tabela7[[#This Row],[usou 2]]</f>
        <v>46607</v>
      </c>
      <c r="G56" s="61">
        <v>1000</v>
      </c>
      <c r="H56" s="49">
        <f>Tabela7[[#This Row],[soma final]]/(Tabela7[[#This Row],[media]])</f>
        <v>46.606999999999999</v>
      </c>
      <c r="I56" s="42"/>
      <c r="J56" s="50">
        <f>Tabela7[[#This Row],[obs:]]+Tabela7[[#This Row],[soma final]]</f>
        <v>46607</v>
      </c>
      <c r="K56" s="49">
        <f>Tabela7[[#This Row],[saldo novo]]/Tabela7[[#This Row],[media]]</f>
        <v>46.606999999999999</v>
      </c>
      <c r="L56"/>
      <c r="M56"/>
    </row>
    <row r="57" spans="1:13" ht="15.75" thickBot="1" x14ac:dyDescent="0.3">
      <c r="A57" s="85">
        <v>1482</v>
      </c>
      <c r="B57" s="51" t="s">
        <v>31</v>
      </c>
      <c r="C57" s="52">
        <v>242451</v>
      </c>
      <c r="D57" s="68"/>
      <c r="E57" s="61"/>
      <c r="F57" s="52">
        <f>Tabela7[[#This Row],[soma]]-Tabela7[[#This Row],[usou 13/02]]-Tabela7[[#This Row],[usou 2]]</f>
        <v>242451</v>
      </c>
      <c r="G57" s="61">
        <v>5000</v>
      </c>
      <c r="H57" s="49">
        <f>Tabela7[[#This Row],[soma final]]/(Tabela7[[#This Row],[media]])</f>
        <v>48.490200000000002</v>
      </c>
      <c r="I57" s="42"/>
      <c r="J57" s="50">
        <f>Tabela7[[#This Row],[obs:]]+Tabela7[[#This Row],[soma final]]</f>
        <v>242451</v>
      </c>
      <c r="K57" s="49">
        <f>Tabela7[[#This Row],[saldo novo]]/Tabela7[[#This Row],[media]]</f>
        <v>48.490200000000002</v>
      </c>
      <c r="L57"/>
      <c r="M57"/>
    </row>
    <row r="58" spans="1:13" ht="15.75" thickBot="1" x14ac:dyDescent="0.3">
      <c r="A58" s="87">
        <v>510</v>
      </c>
      <c r="B58" s="58" t="s">
        <v>10</v>
      </c>
      <c r="C58" s="59">
        <v>203198</v>
      </c>
      <c r="D58" s="68"/>
      <c r="E58" s="63"/>
      <c r="F58" s="59">
        <f>Tabela7[[#This Row],[soma]]-Tabela7[[#This Row],[usou 13/02]]-Tabela7[[#This Row],[usou 2]]</f>
        <v>203198</v>
      </c>
      <c r="G58" s="63">
        <v>3357</v>
      </c>
      <c r="H58" s="49">
        <f>Tabela7[[#This Row],[soma final]]/(Tabela7[[#This Row],[media]])</f>
        <v>60.529639559130175</v>
      </c>
      <c r="I58" s="43"/>
      <c r="J58" s="50">
        <f>Tabela7[[#This Row],[obs:]]+Tabela7[[#This Row],[soma final]]</f>
        <v>203198</v>
      </c>
      <c r="K58" s="49">
        <f>Tabela7[[#This Row],[saldo novo]]/Tabela7[[#This Row],[media]]</f>
        <v>60.529639559130175</v>
      </c>
      <c r="L58"/>
      <c r="M58"/>
    </row>
    <row r="59" spans="1:13" ht="15.75" thickBot="1" x14ac:dyDescent="0.3">
      <c r="A59" s="80">
        <v>1483</v>
      </c>
      <c r="B59" s="53" t="s">
        <v>32</v>
      </c>
      <c r="C59" s="52">
        <v>354320</v>
      </c>
      <c r="D59" s="68"/>
      <c r="E59" s="61"/>
      <c r="F59" s="52">
        <f>Tabela7[[#This Row],[soma]]-Tabela7[[#This Row],[usou 13/02]]-Tabela7[[#This Row],[usou 2]]</f>
        <v>354320</v>
      </c>
      <c r="G59" s="61">
        <v>5000</v>
      </c>
      <c r="H59" s="49">
        <f>Tabela7[[#This Row],[soma final]]/(Tabela7[[#This Row],[media]])</f>
        <v>70.864000000000004</v>
      </c>
      <c r="I59" s="42"/>
      <c r="J59" s="50">
        <f>Tabela7[[#This Row],[obs:]]+Tabela7[[#This Row],[soma final]]</f>
        <v>354320</v>
      </c>
      <c r="K59" s="49">
        <f>Tabela7[[#This Row],[saldo novo]]/Tabela7[[#This Row],[media]]</f>
        <v>70.864000000000004</v>
      </c>
      <c r="L59"/>
      <c r="M59"/>
    </row>
    <row r="60" spans="1:13" ht="15.75" thickBot="1" x14ac:dyDescent="0.3">
      <c r="A60" s="86">
        <v>1520</v>
      </c>
      <c r="B60" s="51" t="s">
        <v>36</v>
      </c>
      <c r="C60" s="59">
        <v>224400</v>
      </c>
      <c r="D60" s="68"/>
      <c r="E60" s="63"/>
      <c r="F60" s="59">
        <f>Tabela7[[#This Row],[soma]]-Tabela7[[#This Row],[usou 13/02]]-Tabela7[[#This Row],[usou 2]]</f>
        <v>224400</v>
      </c>
      <c r="G60" s="63"/>
      <c r="H60" s="49" t="e">
        <f>Tabela7[[#This Row],[soma final]]/(Tabela7[[#This Row],[media]])</f>
        <v>#DIV/0!</v>
      </c>
      <c r="I60" s="43"/>
      <c r="J60" s="50">
        <f>Tabela7[[#This Row],[obs:]]+Tabela7[[#This Row],[soma final]]</f>
        <v>224400</v>
      </c>
      <c r="K60" s="49" t="e">
        <f>Tabela7[[#This Row],[saldo novo]]/Tabela7[[#This Row],[media]]</f>
        <v>#DIV/0!</v>
      </c>
      <c r="L60"/>
      <c r="M60"/>
    </row>
    <row r="61" spans="1:13" ht="15.75" thickBot="1" x14ac:dyDescent="0.3">
      <c r="A61" s="88">
        <v>1521</v>
      </c>
      <c r="B61" s="53" t="s">
        <v>49</v>
      </c>
      <c r="C61" s="54">
        <v>57715</v>
      </c>
      <c r="D61" s="68"/>
      <c r="E61" s="62"/>
      <c r="F61" s="54">
        <f>Tabela7[[#This Row],[soma]]-Tabela7[[#This Row],[usou 13/02]]-Tabela7[[#This Row],[usou 2]]</f>
        <v>57715</v>
      </c>
      <c r="G61" s="62"/>
      <c r="H61" s="49" t="e">
        <f>Tabela7[[#This Row],[soma final]]/(Tabela7[[#This Row],[media]])</f>
        <v>#DIV/0!</v>
      </c>
      <c r="I61" s="44"/>
      <c r="J61" s="50">
        <f>Tabela7[[#This Row],[obs:]]+Tabela7[[#This Row],[soma final]]</f>
        <v>57715</v>
      </c>
      <c r="K61" s="49" t="e">
        <f>Tabela7[[#This Row],[saldo novo]]/Tabela7[[#This Row],[media]]</f>
        <v>#DIV/0!</v>
      </c>
      <c r="L61"/>
      <c r="M61"/>
    </row>
    <row r="65" spans="1:11" ht="15.75" thickBot="1" x14ac:dyDescent="0.3">
      <c r="B65" t="s">
        <v>193</v>
      </c>
    </row>
    <row r="66" spans="1:11" ht="45.75" thickBot="1" x14ac:dyDescent="0.3">
      <c r="A66" s="25" t="s">
        <v>160</v>
      </c>
      <c r="B66" s="25" t="s">
        <v>71</v>
      </c>
      <c r="C66" s="34" t="s">
        <v>173</v>
      </c>
      <c r="D66" s="65" t="s">
        <v>192</v>
      </c>
      <c r="E66" s="65" t="s">
        <v>191</v>
      </c>
      <c r="F66" s="34" t="s">
        <v>190</v>
      </c>
      <c r="G66" s="36" t="s">
        <v>188</v>
      </c>
      <c r="H66" s="71" t="s">
        <v>174</v>
      </c>
      <c r="I66" s="41" t="s">
        <v>175</v>
      </c>
      <c r="J66" s="72" t="s">
        <v>189</v>
      </c>
      <c r="K66" s="73" t="s">
        <v>157</v>
      </c>
    </row>
    <row r="67" spans="1:11" ht="15.75" thickBot="1" x14ac:dyDescent="0.3">
      <c r="A67" s="33">
        <v>514</v>
      </c>
      <c r="B67" s="23" t="s">
        <v>165</v>
      </c>
      <c r="C67" s="29">
        <f>5000</f>
        <v>5000</v>
      </c>
      <c r="D67" s="74">
        <v>5000</v>
      </c>
      <c r="E67" s="74"/>
      <c r="F67" s="29">
        <f>Tabela8[[#This Row],[soma]]-Tabela8[[#This Row],[usou 13/02]]-Tabela8[[#This Row],[usou 2]]</f>
        <v>0</v>
      </c>
      <c r="G67" s="60">
        <v>7863</v>
      </c>
      <c r="H67" s="49">
        <f>Tabela8[[#This Row],[soma final]]/(Tabela8[[#This Row],[media]])</f>
        <v>0</v>
      </c>
      <c r="I67" s="22"/>
      <c r="J67" s="55">
        <f>Tabela8[[#This Row],[obs:]]+Tabela8[[#This Row],[soma final]]</f>
        <v>0</v>
      </c>
      <c r="K67" s="49">
        <f>Tabela8[[#This Row],[saldo novo]]/Tabela8[[#This Row],[media]]</f>
        <v>0</v>
      </c>
    </row>
    <row r="68" spans="1:11" ht="15.75" thickBot="1" x14ac:dyDescent="0.3">
      <c r="A68" s="33">
        <v>522</v>
      </c>
      <c r="B68" s="23" t="s">
        <v>169</v>
      </c>
      <c r="C68" s="29">
        <f>5000+6600</f>
        <v>11600</v>
      </c>
      <c r="D68" s="67">
        <v>4320</v>
      </c>
      <c r="E68" s="67"/>
      <c r="F68" s="29">
        <f>Tabela8[[#This Row],[soma]]-Tabela8[[#This Row],[usou 13/02]]-Tabela8[[#This Row],[usou 2]]</f>
        <v>7280</v>
      </c>
      <c r="G68" s="60">
        <v>1685</v>
      </c>
      <c r="H68" s="49">
        <f>Tabela8[[#This Row],[soma final]]/(Tabela8[[#This Row],[media]])</f>
        <v>4.3204747774480712</v>
      </c>
      <c r="I68" s="22"/>
      <c r="J68" s="55">
        <f>Tabela8[[#This Row],[obs:]]+Tabela8[[#This Row],[soma final]]</f>
        <v>7280</v>
      </c>
      <c r="K68" s="49">
        <f>Tabela8[[#This Row],[saldo novo]]/Tabela8[[#This Row],[media]]</f>
        <v>4.3204747774480712</v>
      </c>
    </row>
    <row r="69" spans="1:11" ht="15.75" thickBot="1" x14ac:dyDescent="0.3">
      <c r="A69" s="33">
        <v>496</v>
      </c>
      <c r="B69" s="23" t="s">
        <v>161</v>
      </c>
      <c r="C69" s="29">
        <f>5000+11000</f>
        <v>16000</v>
      </c>
      <c r="D69" s="74">
        <v>13944</v>
      </c>
      <c r="E69" s="74"/>
      <c r="F69" s="29">
        <f>Tabela8[[#This Row],[soma]]-Tabela8[[#This Row],[usou 13/02]]-Tabela8[[#This Row],[usou 2]]</f>
        <v>2056</v>
      </c>
      <c r="G69" s="75">
        <v>3416</v>
      </c>
      <c r="H69" s="49">
        <f>Tabela8[[#This Row],[soma final]]/(Tabela8[[#This Row],[media]])</f>
        <v>0.60187353629976581</v>
      </c>
      <c r="I69" s="76"/>
      <c r="J69" s="55">
        <f>Tabela8[[#This Row],[obs:]]+Tabela8[[#This Row],[soma final]]</f>
        <v>2056</v>
      </c>
      <c r="K69" s="49">
        <f>Tabela8[[#This Row],[saldo novo]]/Tabela8[[#This Row],[media]]</f>
        <v>0.60187353629976581</v>
      </c>
    </row>
    <row r="70" spans="1:11" ht="15.75" thickBot="1" x14ac:dyDescent="0.3">
      <c r="A70" s="33">
        <v>515</v>
      </c>
      <c r="B70" s="23" t="s">
        <v>166</v>
      </c>
      <c r="C70" s="29">
        <f>5000+5500</f>
        <v>10500</v>
      </c>
      <c r="D70" s="67">
        <v>4776</v>
      </c>
      <c r="E70" s="67"/>
      <c r="F70" s="29">
        <f>Tabela8[[#This Row],[soma]]-Tabela8[[#This Row],[usou 13/02]]-Tabela8[[#This Row],[usou 2]]</f>
        <v>5724</v>
      </c>
      <c r="G70" s="60">
        <v>1703</v>
      </c>
      <c r="H70" s="49">
        <f>Tabela8[[#This Row],[soma final]]/(Tabela8[[#This Row],[media]])</f>
        <v>3.3611274221961245</v>
      </c>
      <c r="I70" s="22"/>
      <c r="J70" s="55">
        <f>Tabela8[[#This Row],[obs:]]+Tabela8[[#This Row],[soma final]]</f>
        <v>5724</v>
      </c>
      <c r="K70" s="49">
        <f>Tabela8[[#This Row],[saldo novo]]/Tabela8[[#This Row],[media]]</f>
        <v>3.3611274221961245</v>
      </c>
    </row>
    <row r="71" spans="1:11" ht="15.75" thickBot="1" x14ac:dyDescent="0.3">
      <c r="A71" s="33">
        <v>523</v>
      </c>
      <c r="B71" s="23" t="s">
        <v>170</v>
      </c>
      <c r="C71" s="29">
        <f>5000+13200</f>
        <v>18200</v>
      </c>
      <c r="D71" s="67">
        <v>6906</v>
      </c>
      <c r="E71" s="67"/>
      <c r="F71" s="29">
        <f>Tabela8[[#This Row],[soma]]-Tabela8[[#This Row],[usou 13/02]]-Tabela8[[#This Row],[usou 2]]</f>
        <v>11294</v>
      </c>
      <c r="G71" s="60">
        <v>3739</v>
      </c>
      <c r="H71" s="49">
        <f>Tabela8[[#This Row],[soma final]]/(Tabela8[[#This Row],[media]])</f>
        <v>3.0205937416421502</v>
      </c>
      <c r="I71" s="22"/>
      <c r="J71" s="55">
        <f>Tabela8[[#This Row],[obs:]]+Tabela8[[#This Row],[soma final]]</f>
        <v>11294</v>
      </c>
      <c r="K71" s="49">
        <f>Tabela8[[#This Row],[saldo novo]]/Tabela8[[#This Row],[media]]</f>
        <v>3.0205937416421502</v>
      </c>
    </row>
    <row r="72" spans="1:11" ht="15.75" thickBot="1" x14ac:dyDescent="0.3">
      <c r="A72" s="33">
        <v>497</v>
      </c>
      <c r="B72" s="23" t="s">
        <v>162</v>
      </c>
      <c r="C72" s="29">
        <f>10000+33000</f>
        <v>43000</v>
      </c>
      <c r="D72" s="74">
        <v>18000</v>
      </c>
      <c r="E72" s="74"/>
      <c r="F72" s="29">
        <f>Tabela8[[#This Row],[soma]]-Tabela8[[#This Row],[usou 13/02]]-Tabela8[[#This Row],[usou 2]]</f>
        <v>25000</v>
      </c>
      <c r="G72" s="75">
        <v>9671</v>
      </c>
      <c r="H72" s="49">
        <f>Tabela8[[#This Row],[soma final]]/(Tabela8[[#This Row],[media]])</f>
        <v>2.5850480818943233</v>
      </c>
      <c r="I72" s="76"/>
      <c r="J72" s="55">
        <f>Tabela8[[#This Row],[obs:]]+Tabela8[[#This Row],[soma final]]</f>
        <v>25000</v>
      </c>
      <c r="K72" s="49">
        <f>Tabela8[[#This Row],[saldo novo]]/Tabela8[[#This Row],[media]]</f>
        <v>2.5850480818943233</v>
      </c>
    </row>
    <row r="73" spans="1:11" ht="15.75" thickBot="1" x14ac:dyDescent="0.3">
      <c r="A73" s="33">
        <v>516</v>
      </c>
      <c r="B73" s="23" t="s">
        <v>167</v>
      </c>
      <c r="C73" s="29">
        <f>5000+11000</f>
        <v>16000</v>
      </c>
      <c r="D73" s="67"/>
      <c r="E73" s="67"/>
      <c r="F73" s="29">
        <f>Tabela8[[#This Row],[soma]]-Tabela8[[#This Row],[usou 13/02]]-Tabela8[[#This Row],[usou 2]]</f>
        <v>16000</v>
      </c>
      <c r="G73" s="60">
        <v>2604</v>
      </c>
      <c r="H73" s="49">
        <f>Tabela8[[#This Row],[soma final]]/(Tabela8[[#This Row],[media]])</f>
        <v>6.1443932411674345</v>
      </c>
      <c r="I73" s="22"/>
      <c r="J73" s="55">
        <f>Tabela8[[#This Row],[obs:]]+Tabela8[[#This Row],[soma final]]</f>
        <v>16000</v>
      </c>
      <c r="K73" s="49">
        <f>Tabela8[[#This Row],[saldo novo]]/Tabela8[[#This Row],[media]]</f>
        <v>6.1443932411674345</v>
      </c>
    </row>
    <row r="74" spans="1:11" ht="15.75" thickBot="1" x14ac:dyDescent="0.3">
      <c r="A74" s="33">
        <v>524</v>
      </c>
      <c r="B74" s="23" t="s">
        <v>171</v>
      </c>
      <c r="C74" s="29">
        <f>5000+14380</f>
        <v>19380</v>
      </c>
      <c r="D74" s="74">
        <v>7200</v>
      </c>
      <c r="E74" s="74"/>
      <c r="F74" s="29">
        <f>Tabela8[[#This Row],[soma]]-Tabela8[[#This Row],[usou 13/02]]-Tabela8[[#This Row],[usou 2]]</f>
        <v>12180</v>
      </c>
      <c r="G74" s="75">
        <v>4079</v>
      </c>
      <c r="H74" s="49">
        <f>Tabela8[[#This Row],[soma final]]/(Tabela8[[#This Row],[media]])</f>
        <v>2.9860259867614611</v>
      </c>
      <c r="I74" s="76"/>
      <c r="J74" s="55">
        <f>Tabela8[[#This Row],[obs:]]+Tabela8[[#This Row],[soma final]]</f>
        <v>12180</v>
      </c>
      <c r="K74" s="49">
        <f>Tabela8[[#This Row],[saldo novo]]/Tabela8[[#This Row],[media]]</f>
        <v>2.9860259867614611</v>
      </c>
    </row>
    <row r="75" spans="1:11" ht="15.75" thickBot="1" x14ac:dyDescent="0.3">
      <c r="A75" s="33">
        <v>498</v>
      </c>
      <c r="B75" s="23" t="s">
        <v>163</v>
      </c>
      <c r="C75" s="29">
        <f>8000+31670</f>
        <v>39670</v>
      </c>
      <c r="D75" s="74">
        <v>12432</v>
      </c>
      <c r="E75" s="74"/>
      <c r="F75" s="29">
        <f>Tabela8[[#This Row],[soma]]-Tabela8[[#This Row],[usou 13/02]]-Tabela8[[#This Row],[usou 2]]</f>
        <v>27238</v>
      </c>
      <c r="G75" s="75">
        <v>7863</v>
      </c>
      <c r="H75" s="49">
        <f>Tabela8[[#This Row],[soma final]]/(Tabela8[[#This Row],[media]])</f>
        <v>3.4640722370596464</v>
      </c>
      <c r="I75" s="76"/>
      <c r="J75" s="55">
        <f>Tabela8[[#This Row],[obs:]]+Tabela8[[#This Row],[soma final]]</f>
        <v>27238</v>
      </c>
      <c r="K75" s="49">
        <f>Tabela8[[#This Row],[saldo novo]]/Tabela8[[#This Row],[media]]</f>
        <v>3.4640722370596464</v>
      </c>
    </row>
    <row r="76" spans="1:11" ht="15.75" thickBot="1" x14ac:dyDescent="0.3">
      <c r="A76" s="33">
        <v>517</v>
      </c>
      <c r="B76" s="23" t="s">
        <v>168</v>
      </c>
      <c r="C76" s="29">
        <f>5000+11000</f>
        <v>16000</v>
      </c>
      <c r="D76" s="67">
        <v>3936</v>
      </c>
      <c r="E76" s="67"/>
      <c r="F76" s="29">
        <f>Tabela8[[#This Row],[soma]]-Tabela8[[#This Row],[usou 13/02]]-Tabela8[[#This Row],[usou 2]]</f>
        <v>12064</v>
      </c>
      <c r="G76" s="60">
        <v>3154</v>
      </c>
      <c r="H76" s="49">
        <f>Tabela8[[#This Row],[soma final]]/(Tabela8[[#This Row],[media]])</f>
        <v>3.8249841471147747</v>
      </c>
      <c r="I76" s="22"/>
      <c r="J76" s="55">
        <f>Tabela8[[#This Row],[obs:]]+Tabela8[[#This Row],[soma final]]</f>
        <v>12064</v>
      </c>
      <c r="K76" s="49">
        <f>Tabela8[[#This Row],[saldo novo]]/Tabela8[[#This Row],[media]]</f>
        <v>3.8249841471147747</v>
      </c>
    </row>
    <row r="77" spans="1:11" ht="15.75" thickBot="1" x14ac:dyDescent="0.3">
      <c r="A77" s="33">
        <v>525</v>
      </c>
      <c r="B77" s="23" t="s">
        <v>172</v>
      </c>
      <c r="C77" s="29">
        <f>5000+15670</f>
        <v>20670</v>
      </c>
      <c r="D77" s="74">
        <v>11100</v>
      </c>
      <c r="E77" s="74"/>
      <c r="F77" s="29">
        <f>Tabela8[[#This Row],[soma]]-Tabela8[[#This Row],[usou 13/02]]-Tabela8[[#This Row],[usou 2]]</f>
        <v>9570</v>
      </c>
      <c r="G77" s="75">
        <v>4360</v>
      </c>
      <c r="H77" s="49">
        <f>Tabela8[[#This Row],[soma final]]/(Tabela8[[#This Row],[media]])</f>
        <v>2.1949541284403669</v>
      </c>
      <c r="I77" s="76"/>
      <c r="J77" s="55">
        <f>Tabela8[[#This Row],[obs:]]+Tabela8[[#This Row],[soma final]]</f>
        <v>9570</v>
      </c>
      <c r="K77" s="49">
        <f>Tabela8[[#This Row],[saldo novo]]/Tabela8[[#This Row],[media]]</f>
        <v>2.1949541284403669</v>
      </c>
    </row>
    <row r="78" spans="1:11" ht="15.75" thickBot="1" x14ac:dyDescent="0.3">
      <c r="A78" s="33">
        <v>499</v>
      </c>
      <c r="B78" s="23" t="s">
        <v>164</v>
      </c>
      <c r="C78" s="29">
        <f>15000+33000</f>
        <v>48000</v>
      </c>
      <c r="D78" s="67">
        <v>24456</v>
      </c>
      <c r="E78" s="67"/>
      <c r="F78" s="29">
        <f>Tabela8[[#This Row],[soma]]-Tabela8[[#This Row],[usou 13/02]]-Tabela8[[#This Row],[usou 2]]</f>
        <v>23544</v>
      </c>
      <c r="G78" s="60">
        <v>13740</v>
      </c>
      <c r="H78" s="49">
        <f>Tabela8[[#This Row],[soma final]]/(Tabela8[[#This Row],[media]])</f>
        <v>1.71353711790393</v>
      </c>
      <c r="I78" s="22"/>
      <c r="J78" s="55">
        <f>Tabela8[[#This Row],[obs:]]+Tabela8[[#This Row],[soma final]]</f>
        <v>23544</v>
      </c>
      <c r="K78" s="49">
        <f>Tabela8[[#This Row],[saldo novo]]/Tabela8[[#This Row],[media]]</f>
        <v>1.71353711790393</v>
      </c>
    </row>
    <row r="81" spans="2:28" x14ac:dyDescent="0.25">
      <c r="B81" s="2" t="s">
        <v>22</v>
      </c>
      <c r="C81" s="19">
        <v>4320</v>
      </c>
      <c r="D81"/>
      <c r="E81"/>
      <c r="F81"/>
      <c r="G81"/>
      <c r="J81"/>
      <c r="K81"/>
      <c r="L81"/>
      <c r="M81"/>
      <c r="Y81" s="19">
        <v>4320</v>
      </c>
    </row>
    <row r="82" spans="2:28" x14ac:dyDescent="0.25">
      <c r="B82" s="2" t="s">
        <v>6</v>
      </c>
      <c r="C82" s="19">
        <v>13944</v>
      </c>
      <c r="D82"/>
      <c r="E82"/>
      <c r="F82"/>
      <c r="G82"/>
      <c r="J82"/>
      <c r="K82"/>
      <c r="L82"/>
      <c r="M82"/>
      <c r="Y82" s="19">
        <v>13944</v>
      </c>
    </row>
    <row r="83" spans="2:28" x14ac:dyDescent="0.25">
      <c r="B83" s="2" t="s">
        <v>23</v>
      </c>
      <c r="C83" s="19">
        <v>6906</v>
      </c>
      <c r="D83"/>
      <c r="E83"/>
      <c r="F83"/>
      <c r="G83"/>
      <c r="J83"/>
      <c r="K83"/>
      <c r="L83"/>
      <c r="M83"/>
      <c r="Y83" s="19">
        <v>6906</v>
      </c>
    </row>
    <row r="84" spans="2:28" x14ac:dyDescent="0.25">
      <c r="B84" s="2" t="s">
        <v>7</v>
      </c>
      <c r="C84" s="19">
        <v>18000</v>
      </c>
      <c r="D84"/>
      <c r="E84"/>
      <c r="F84"/>
      <c r="G84"/>
      <c r="J84"/>
      <c r="K84"/>
      <c r="L84"/>
      <c r="M84"/>
      <c r="Y84" s="19">
        <v>18000</v>
      </c>
    </row>
    <row r="85" spans="2:28" x14ac:dyDescent="0.25">
      <c r="B85" s="2" t="s">
        <v>24</v>
      </c>
      <c r="C85" s="19">
        <v>7200</v>
      </c>
      <c r="D85"/>
      <c r="E85"/>
      <c r="F85"/>
      <c r="G85"/>
      <c r="J85"/>
      <c r="K85"/>
      <c r="L85"/>
      <c r="M85"/>
      <c r="Y85" s="19">
        <v>7200</v>
      </c>
    </row>
    <row r="86" spans="2:28" x14ac:dyDescent="0.25">
      <c r="B86" s="2" t="s">
        <v>8</v>
      </c>
      <c r="C86" s="19">
        <v>12432</v>
      </c>
      <c r="D86"/>
      <c r="E86"/>
      <c r="F86"/>
      <c r="G86"/>
      <c r="J86"/>
      <c r="K86"/>
      <c r="L86"/>
      <c r="M86"/>
      <c r="Y86" s="19">
        <v>12432</v>
      </c>
    </row>
    <row r="87" spans="2:28" x14ac:dyDescent="0.25">
      <c r="B87" s="2" t="s">
        <v>25</v>
      </c>
      <c r="C87" s="19">
        <v>11100</v>
      </c>
      <c r="D87"/>
      <c r="E87"/>
      <c r="F87"/>
      <c r="G87"/>
      <c r="J87"/>
      <c r="K87"/>
      <c r="L87"/>
      <c r="M87"/>
      <c r="Y87" s="19">
        <v>11100</v>
      </c>
    </row>
    <row r="88" spans="2:28" x14ac:dyDescent="0.25">
      <c r="B88" s="2" t="s">
        <v>9</v>
      </c>
      <c r="C88" s="19">
        <v>24456</v>
      </c>
      <c r="D88"/>
      <c r="E88"/>
      <c r="F88"/>
      <c r="G88"/>
      <c r="J88"/>
      <c r="K88"/>
      <c r="L88"/>
      <c r="M88"/>
      <c r="Y88" s="19">
        <v>24456</v>
      </c>
    </row>
    <row r="94" spans="2:28" x14ac:dyDescent="0.25">
      <c r="B94" s="77" t="s">
        <v>10</v>
      </c>
      <c r="C94" s="89">
        <v>11136</v>
      </c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>
        <v>336</v>
      </c>
      <c r="AB94" s="78"/>
    </row>
    <row r="95" spans="2:28" x14ac:dyDescent="0.25">
      <c r="B95" s="90">
        <v>6</v>
      </c>
      <c r="C95" s="4">
        <v>11136</v>
      </c>
      <c r="D95"/>
      <c r="E95"/>
      <c r="F95"/>
      <c r="G95"/>
      <c r="J95"/>
      <c r="K95"/>
      <c r="L95"/>
      <c r="M95"/>
      <c r="AA95">
        <v>336</v>
      </c>
    </row>
    <row r="96" spans="2:28" x14ac:dyDescent="0.25">
      <c r="B96" s="77" t="s">
        <v>18</v>
      </c>
      <c r="C96" s="89">
        <v>4950</v>
      </c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 spans="2:28" x14ac:dyDescent="0.25">
      <c r="B97" s="90">
        <v>7</v>
      </c>
      <c r="C97" s="4">
        <v>4950</v>
      </c>
      <c r="D97"/>
      <c r="E97"/>
      <c r="F97"/>
      <c r="G97"/>
      <c r="J97"/>
      <c r="K97"/>
      <c r="L97"/>
      <c r="M97"/>
    </row>
    <row r="98" spans="2:28" x14ac:dyDescent="0.25">
      <c r="B98" s="77" t="s">
        <v>2</v>
      </c>
      <c r="C98" s="89">
        <v>57672</v>
      </c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 spans="2:28" x14ac:dyDescent="0.25">
      <c r="B99" s="90">
        <v>5</v>
      </c>
      <c r="C99" s="4">
        <v>57672</v>
      </c>
      <c r="D99"/>
      <c r="E99"/>
      <c r="F99"/>
      <c r="G99"/>
      <c r="J99"/>
      <c r="K99"/>
      <c r="L99"/>
      <c r="M99"/>
    </row>
    <row r="100" spans="2:28" x14ac:dyDescent="0.25">
      <c r="B100" s="77" t="s">
        <v>103</v>
      </c>
      <c r="C100" s="89">
        <v>504</v>
      </c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 spans="2:28" x14ac:dyDescent="0.25">
      <c r="B101" s="90">
        <v>11</v>
      </c>
      <c r="C101" s="4">
        <v>504</v>
      </c>
      <c r="D101"/>
      <c r="E101"/>
      <c r="F101"/>
      <c r="G101"/>
      <c r="J101"/>
      <c r="K101"/>
      <c r="L101"/>
      <c r="M101"/>
    </row>
    <row r="102" spans="2:28" x14ac:dyDescent="0.25">
      <c r="B102" s="77" t="s">
        <v>11</v>
      </c>
      <c r="C102" s="89">
        <v>15072</v>
      </c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>
        <v>1032</v>
      </c>
      <c r="AB102" s="78"/>
    </row>
    <row r="103" spans="2:28" x14ac:dyDescent="0.25">
      <c r="B103" s="90">
        <v>9</v>
      </c>
      <c r="C103" s="4">
        <v>15072</v>
      </c>
      <c r="D103"/>
      <c r="E103"/>
      <c r="F103"/>
      <c r="G103"/>
      <c r="J103"/>
      <c r="K103"/>
      <c r="L103"/>
      <c r="M103"/>
      <c r="AA103">
        <v>1032</v>
      </c>
    </row>
    <row r="104" spans="2:28" x14ac:dyDescent="0.25">
      <c r="B104" s="77" t="s">
        <v>19</v>
      </c>
      <c r="C104" s="89">
        <v>6720</v>
      </c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 spans="2:28" x14ac:dyDescent="0.25">
      <c r="B105" s="90">
        <v>10</v>
      </c>
      <c r="C105" s="4">
        <v>6720</v>
      </c>
      <c r="D105"/>
      <c r="E105"/>
      <c r="F105"/>
      <c r="G105"/>
      <c r="J105"/>
      <c r="K105"/>
      <c r="L105"/>
      <c r="M105"/>
    </row>
    <row r="106" spans="2:28" x14ac:dyDescent="0.25">
      <c r="B106" s="77" t="s">
        <v>3</v>
      </c>
      <c r="C106" s="89">
        <v>161292</v>
      </c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 spans="2:28" x14ac:dyDescent="0.25">
      <c r="B107" s="90">
        <v>8</v>
      </c>
      <c r="C107" s="4">
        <v>161292</v>
      </c>
      <c r="D107"/>
      <c r="E107"/>
      <c r="F107"/>
      <c r="G107"/>
      <c r="J107"/>
      <c r="K107"/>
      <c r="L107"/>
      <c r="M107"/>
    </row>
    <row r="108" spans="2:28" x14ac:dyDescent="0.25">
      <c r="B108" s="77" t="s">
        <v>104</v>
      </c>
      <c r="C108" s="89">
        <v>542</v>
      </c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 spans="2:28" x14ac:dyDescent="0.25">
      <c r="B109" s="90">
        <v>15</v>
      </c>
      <c r="C109" s="4">
        <v>542</v>
      </c>
      <c r="D109"/>
      <c r="E109"/>
      <c r="F109"/>
      <c r="G109"/>
      <c r="J109"/>
      <c r="K109"/>
      <c r="L109"/>
      <c r="M109"/>
    </row>
    <row r="110" spans="2:28" x14ac:dyDescent="0.25">
      <c r="B110" s="77" t="s">
        <v>12</v>
      </c>
      <c r="C110" s="89">
        <v>20856</v>
      </c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 spans="2:28" x14ac:dyDescent="0.25">
      <c r="B111" s="90">
        <v>13</v>
      </c>
      <c r="C111" s="4">
        <v>20856</v>
      </c>
      <c r="D111"/>
      <c r="E111"/>
      <c r="F111"/>
      <c r="G111"/>
      <c r="J111"/>
      <c r="K111"/>
      <c r="L111"/>
      <c r="M111"/>
    </row>
    <row r="112" spans="2:28" x14ac:dyDescent="0.25">
      <c r="B112" s="77" t="s">
        <v>20</v>
      </c>
      <c r="C112" s="89">
        <v>15840</v>
      </c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 spans="2:28" x14ac:dyDescent="0.25">
      <c r="B113" s="90">
        <v>14</v>
      </c>
      <c r="C113" s="4">
        <v>15840</v>
      </c>
      <c r="D113"/>
      <c r="E113"/>
      <c r="F113"/>
      <c r="G113"/>
      <c r="J113"/>
      <c r="K113"/>
      <c r="L113"/>
      <c r="M113"/>
    </row>
    <row r="114" spans="2:28" x14ac:dyDescent="0.25">
      <c r="B114" s="77" t="s">
        <v>4</v>
      </c>
      <c r="C114" s="89">
        <v>95760</v>
      </c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 spans="2:28" x14ac:dyDescent="0.25">
      <c r="B115" s="90">
        <v>12</v>
      </c>
      <c r="C115" s="4">
        <v>95760</v>
      </c>
      <c r="D115"/>
      <c r="E115"/>
      <c r="F115"/>
      <c r="G115"/>
      <c r="J115"/>
      <c r="K115"/>
      <c r="L115"/>
      <c r="M115"/>
    </row>
    <row r="116" spans="2:28" x14ac:dyDescent="0.25">
      <c r="B116" s="77" t="s">
        <v>105</v>
      </c>
      <c r="C116" s="89">
        <v>518</v>
      </c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 spans="2:28" x14ac:dyDescent="0.25">
      <c r="B117" s="90">
        <v>19</v>
      </c>
      <c r="C117" s="4">
        <v>518</v>
      </c>
      <c r="D117"/>
      <c r="E117"/>
      <c r="F117"/>
      <c r="G117"/>
      <c r="J117"/>
      <c r="K117"/>
      <c r="L117"/>
      <c r="M117"/>
    </row>
    <row r="118" spans="2:28" x14ac:dyDescent="0.25">
      <c r="B118" s="77" t="s">
        <v>13</v>
      </c>
      <c r="C118" s="89">
        <v>30204</v>
      </c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 spans="2:28" x14ac:dyDescent="0.25">
      <c r="B119" s="90">
        <v>17</v>
      </c>
      <c r="C119" s="4">
        <v>30204</v>
      </c>
      <c r="D119"/>
      <c r="E119"/>
      <c r="F119"/>
      <c r="G119"/>
      <c r="J119"/>
      <c r="K119"/>
      <c r="L119"/>
      <c r="M119"/>
    </row>
    <row r="120" spans="2:28" x14ac:dyDescent="0.25">
      <c r="B120" s="77" t="s">
        <v>21</v>
      </c>
      <c r="C120" s="89">
        <v>20622</v>
      </c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 spans="2:28" x14ac:dyDescent="0.25">
      <c r="B121" s="90">
        <v>18</v>
      </c>
      <c r="C121" s="4">
        <v>20622</v>
      </c>
      <c r="D121"/>
      <c r="E121"/>
      <c r="F121"/>
      <c r="G121"/>
      <c r="J121"/>
      <c r="K121"/>
      <c r="L121"/>
      <c r="M121"/>
    </row>
    <row r="122" spans="2:28" x14ac:dyDescent="0.25">
      <c r="B122" s="77" t="s">
        <v>5</v>
      </c>
      <c r="C122" s="89">
        <v>259344</v>
      </c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 spans="2:28" x14ac:dyDescent="0.25">
      <c r="B123" s="90">
        <v>16</v>
      </c>
      <c r="C123" s="4">
        <v>259344</v>
      </c>
      <c r="D123"/>
      <c r="E123"/>
      <c r="F123"/>
      <c r="G123"/>
      <c r="J123"/>
      <c r="K123"/>
      <c r="L123"/>
      <c r="M123"/>
    </row>
    <row r="124" spans="2:28" x14ac:dyDescent="0.25">
      <c r="B124" s="77" t="s">
        <v>14</v>
      </c>
      <c r="C124" s="89">
        <v>948</v>
      </c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 spans="2:28" x14ac:dyDescent="0.25">
      <c r="B125" s="90">
        <v>21</v>
      </c>
      <c r="C125" s="4">
        <v>948</v>
      </c>
      <c r="D125"/>
      <c r="E125"/>
      <c r="F125"/>
      <c r="G125"/>
      <c r="J125"/>
      <c r="K125"/>
      <c r="L125"/>
      <c r="M125"/>
    </row>
    <row r="126" spans="2:28" x14ac:dyDescent="0.25">
      <c r="B126" s="77" t="s">
        <v>6</v>
      </c>
      <c r="C126" s="89">
        <v>13944</v>
      </c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 spans="2:28" x14ac:dyDescent="0.25">
      <c r="B127" s="90">
        <v>20</v>
      </c>
      <c r="C127" s="4">
        <v>13944</v>
      </c>
      <c r="D127"/>
      <c r="E127"/>
      <c r="F127"/>
      <c r="G127"/>
      <c r="J127"/>
      <c r="K127"/>
      <c r="L127"/>
      <c r="M127"/>
    </row>
    <row r="128" spans="2:28" x14ac:dyDescent="0.25">
      <c r="B128" s="77" t="s">
        <v>23</v>
      </c>
      <c r="C128" s="89">
        <v>6906</v>
      </c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 spans="2:28" x14ac:dyDescent="0.25">
      <c r="B129" s="90">
        <v>25</v>
      </c>
      <c r="C129" s="4">
        <v>6906</v>
      </c>
      <c r="D129"/>
      <c r="E129"/>
      <c r="F129"/>
      <c r="G129"/>
      <c r="J129"/>
      <c r="K129"/>
      <c r="L129"/>
      <c r="M129"/>
    </row>
    <row r="130" spans="2:28" x14ac:dyDescent="0.25">
      <c r="B130" s="77" t="s">
        <v>7</v>
      </c>
      <c r="C130" s="89">
        <v>18000</v>
      </c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 spans="2:28" x14ac:dyDescent="0.25">
      <c r="B131" s="90">
        <v>23</v>
      </c>
      <c r="C131" s="4">
        <v>18000</v>
      </c>
      <c r="D131"/>
      <c r="E131"/>
      <c r="F131"/>
      <c r="G131"/>
      <c r="J131"/>
      <c r="K131"/>
      <c r="L131"/>
      <c r="M131"/>
    </row>
    <row r="132" spans="2:28" x14ac:dyDescent="0.25">
      <c r="B132" s="77" t="s">
        <v>24</v>
      </c>
      <c r="C132" s="89">
        <v>7200</v>
      </c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 spans="2:28" x14ac:dyDescent="0.25">
      <c r="B133" s="90">
        <v>28</v>
      </c>
      <c r="C133" s="4">
        <v>7200</v>
      </c>
      <c r="D133"/>
      <c r="E133"/>
      <c r="F133"/>
      <c r="G133"/>
      <c r="J133"/>
      <c r="K133"/>
      <c r="L133"/>
      <c r="M133"/>
    </row>
    <row r="134" spans="2:28" x14ac:dyDescent="0.25">
      <c r="B134" s="77" t="s">
        <v>8</v>
      </c>
      <c r="C134" s="89">
        <v>12432</v>
      </c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 spans="2:28" x14ac:dyDescent="0.25">
      <c r="B135" s="90">
        <v>26</v>
      </c>
      <c r="C135" s="4">
        <v>12432</v>
      </c>
      <c r="D135"/>
      <c r="E135"/>
      <c r="F135"/>
      <c r="G135"/>
      <c r="J135"/>
      <c r="K135"/>
      <c r="L135"/>
      <c r="M135"/>
    </row>
    <row r="136" spans="2:28" x14ac:dyDescent="0.25">
      <c r="B136" s="77" t="s">
        <v>25</v>
      </c>
      <c r="C136" s="89">
        <v>11100</v>
      </c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 spans="2:28" x14ac:dyDescent="0.25">
      <c r="B137" s="90">
        <v>31</v>
      </c>
      <c r="C137" s="4">
        <v>11100</v>
      </c>
      <c r="D137"/>
      <c r="E137"/>
      <c r="F137"/>
      <c r="G137"/>
      <c r="J137"/>
      <c r="K137"/>
      <c r="L137"/>
      <c r="M137"/>
    </row>
    <row r="138" spans="2:28" x14ac:dyDescent="0.25">
      <c r="B138" s="77" t="s">
        <v>9</v>
      </c>
      <c r="C138" s="89">
        <v>24456</v>
      </c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 spans="2:28" x14ac:dyDescent="0.25">
      <c r="B139" s="90">
        <v>29</v>
      </c>
      <c r="C139" s="4">
        <v>24456</v>
      </c>
      <c r="D139"/>
      <c r="E139"/>
      <c r="F139"/>
      <c r="G139"/>
      <c r="J139"/>
      <c r="K139"/>
      <c r="L139"/>
      <c r="M139"/>
    </row>
    <row r="140" spans="2:28" x14ac:dyDescent="0.25">
      <c r="B140" s="77" t="s">
        <v>106</v>
      </c>
      <c r="C140" s="89">
        <v>82260</v>
      </c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>
        <v>7380</v>
      </c>
      <c r="AB140" s="78"/>
    </row>
    <row r="141" spans="2:28" x14ac:dyDescent="0.25">
      <c r="B141" s="90">
        <v>4</v>
      </c>
      <c r="C141" s="4">
        <v>82260</v>
      </c>
      <c r="D141"/>
      <c r="E141"/>
      <c r="F141"/>
      <c r="G141"/>
      <c r="J141"/>
      <c r="K141"/>
      <c r="L141"/>
      <c r="M141"/>
      <c r="AA141">
        <v>7380</v>
      </c>
    </row>
    <row r="142" spans="2:28" x14ac:dyDescent="0.25">
      <c r="B142" s="77" t="s">
        <v>107</v>
      </c>
      <c r="C142" s="89">
        <v>8220</v>
      </c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 spans="2:28" x14ac:dyDescent="0.25">
      <c r="B143" s="90">
        <v>5564</v>
      </c>
      <c r="C143" s="4">
        <v>8220</v>
      </c>
      <c r="D143"/>
      <c r="E143"/>
      <c r="F143"/>
      <c r="G143"/>
      <c r="J143"/>
      <c r="K143"/>
      <c r="L143"/>
      <c r="M143"/>
    </row>
    <row r="144" spans="2:28" x14ac:dyDescent="0.25">
      <c r="B144" s="77" t="s">
        <v>108</v>
      </c>
      <c r="C144" s="89">
        <v>99432</v>
      </c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 spans="2:28" x14ac:dyDescent="0.25">
      <c r="B145" s="90">
        <v>5562</v>
      </c>
      <c r="C145" s="4">
        <v>99432</v>
      </c>
      <c r="D145"/>
      <c r="E145"/>
      <c r="F145"/>
      <c r="G145"/>
      <c r="J145"/>
      <c r="K145"/>
      <c r="L145"/>
      <c r="M145"/>
    </row>
    <row r="146" spans="2:28" x14ac:dyDescent="0.25">
      <c r="B146" s="77" t="s">
        <v>109</v>
      </c>
      <c r="C146" s="89">
        <v>83592</v>
      </c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 spans="2:28" x14ac:dyDescent="0.25">
      <c r="B147" s="90">
        <v>2032</v>
      </c>
      <c r="C147" s="4">
        <v>83592</v>
      </c>
      <c r="D147"/>
      <c r="E147"/>
      <c r="F147"/>
      <c r="G147"/>
      <c r="J147"/>
      <c r="K147"/>
      <c r="L147"/>
      <c r="M147"/>
    </row>
    <row r="148" spans="2:28" x14ac:dyDescent="0.25">
      <c r="B148" s="77" t="s">
        <v>110</v>
      </c>
      <c r="C148" s="89">
        <v>815564</v>
      </c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>
        <v>174468</v>
      </c>
      <c r="AB148" s="78"/>
    </row>
    <row r="149" spans="2:28" x14ac:dyDescent="0.25">
      <c r="B149" s="90">
        <v>2030</v>
      </c>
      <c r="C149" s="4">
        <v>815564</v>
      </c>
      <c r="D149"/>
      <c r="E149"/>
      <c r="F149"/>
      <c r="G149"/>
      <c r="J149"/>
      <c r="K149"/>
      <c r="L149"/>
      <c r="M149"/>
      <c r="AA149">
        <v>174468</v>
      </c>
    </row>
    <row r="150" spans="2:28" x14ac:dyDescent="0.25">
      <c r="B150" s="77" t="s">
        <v>111</v>
      </c>
      <c r="C150" s="89">
        <v>56460</v>
      </c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 spans="2:28" x14ac:dyDescent="0.25">
      <c r="B151" s="90">
        <v>5749</v>
      </c>
      <c r="C151" s="4">
        <v>56460</v>
      </c>
      <c r="D151"/>
      <c r="E151"/>
      <c r="F151"/>
      <c r="G151"/>
      <c r="J151"/>
      <c r="K151"/>
      <c r="L151"/>
      <c r="M151"/>
    </row>
    <row r="152" spans="2:28" x14ac:dyDescent="0.25">
      <c r="B152" s="77" t="s">
        <v>112</v>
      </c>
      <c r="C152" s="89">
        <v>24144</v>
      </c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 spans="2:28" x14ac:dyDescent="0.25">
      <c r="B153" s="90">
        <v>5745</v>
      </c>
      <c r="C153" s="4">
        <v>24144</v>
      </c>
      <c r="D153"/>
      <c r="E153"/>
      <c r="F153"/>
      <c r="G153"/>
      <c r="J153"/>
      <c r="K153"/>
      <c r="L153"/>
      <c r="M153"/>
    </row>
    <row r="154" spans="2:28" x14ac:dyDescent="0.25">
      <c r="B154" s="77" t="s">
        <v>113</v>
      </c>
      <c r="C154" s="89">
        <v>5772</v>
      </c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 spans="2:28" x14ac:dyDescent="0.25">
      <c r="B155" s="90">
        <v>5746</v>
      </c>
      <c r="C155" s="4">
        <v>5772</v>
      </c>
      <c r="D155"/>
      <c r="E155"/>
      <c r="F155"/>
      <c r="G155"/>
      <c r="J155"/>
      <c r="K155"/>
      <c r="L155"/>
      <c r="M155"/>
    </row>
    <row r="156" spans="2:28" x14ac:dyDescent="0.25">
      <c r="B156" s="77" t="s">
        <v>114</v>
      </c>
      <c r="C156" s="89">
        <v>20076</v>
      </c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 spans="2:28" x14ac:dyDescent="0.25">
      <c r="B157" s="90">
        <v>5730</v>
      </c>
      <c r="C157" s="4">
        <v>20076</v>
      </c>
      <c r="D157"/>
      <c r="E157"/>
      <c r="F157"/>
      <c r="G157"/>
      <c r="J157"/>
      <c r="K157"/>
      <c r="L157"/>
      <c r="M157"/>
    </row>
    <row r="158" spans="2:28" x14ac:dyDescent="0.25">
      <c r="B158" s="77" t="s">
        <v>115</v>
      </c>
      <c r="C158" s="89">
        <v>6900</v>
      </c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 spans="2:28" x14ac:dyDescent="0.25">
      <c r="B159" s="90">
        <v>5554</v>
      </c>
      <c r="C159" s="4">
        <v>6900</v>
      </c>
      <c r="D159"/>
      <c r="E159"/>
      <c r="F159"/>
      <c r="G159"/>
      <c r="J159"/>
      <c r="K159"/>
      <c r="L159"/>
      <c r="M159"/>
    </row>
    <row r="160" spans="2:28" x14ac:dyDescent="0.25">
      <c r="B160" s="77" t="s">
        <v>116</v>
      </c>
      <c r="C160" s="89">
        <v>25740</v>
      </c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 spans="2:28" x14ac:dyDescent="0.25">
      <c r="B161" s="90">
        <v>5550</v>
      </c>
      <c r="C161" s="4">
        <v>25740</v>
      </c>
      <c r="D161"/>
      <c r="E161"/>
      <c r="F161"/>
      <c r="G161"/>
      <c r="J161"/>
      <c r="K161"/>
      <c r="L161"/>
      <c r="M161"/>
    </row>
    <row r="162" spans="2:28" x14ac:dyDescent="0.25">
      <c r="B162" s="77" t="s">
        <v>117</v>
      </c>
      <c r="C162" s="89">
        <v>13152</v>
      </c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 spans="2:28" x14ac:dyDescent="0.25">
      <c r="B163" s="90">
        <v>5553</v>
      </c>
      <c r="C163" s="4">
        <v>13152</v>
      </c>
      <c r="D163"/>
      <c r="E163"/>
      <c r="F163"/>
      <c r="G163"/>
      <c r="J163"/>
      <c r="K163"/>
      <c r="L163"/>
      <c r="M163"/>
    </row>
    <row r="164" spans="2:28" x14ac:dyDescent="0.25">
      <c r="B164" s="77" t="s">
        <v>118</v>
      </c>
      <c r="C164" s="89">
        <v>98496</v>
      </c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>
        <v>7272</v>
      </c>
      <c r="AB164" s="78"/>
    </row>
    <row r="165" spans="2:28" x14ac:dyDescent="0.25">
      <c r="B165" s="90">
        <v>5549</v>
      </c>
      <c r="C165" s="4">
        <v>98496</v>
      </c>
      <c r="D165"/>
      <c r="E165"/>
      <c r="F165"/>
      <c r="G165"/>
      <c r="J165"/>
      <c r="K165"/>
      <c r="L165"/>
      <c r="M165"/>
      <c r="AA165">
        <v>7272</v>
      </c>
    </row>
    <row r="166" spans="2:28" x14ac:dyDescent="0.25">
      <c r="B166" s="77" t="s">
        <v>119</v>
      </c>
      <c r="C166" s="89">
        <v>43596</v>
      </c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>
        <v>13320</v>
      </c>
      <c r="AB166" s="78"/>
    </row>
    <row r="167" spans="2:28" x14ac:dyDescent="0.25">
      <c r="B167" s="90">
        <v>5188</v>
      </c>
      <c r="C167" s="4">
        <v>43596</v>
      </c>
      <c r="D167"/>
      <c r="E167"/>
      <c r="F167"/>
      <c r="G167"/>
      <c r="J167"/>
      <c r="K167"/>
      <c r="L167"/>
      <c r="M167"/>
      <c r="AA167">
        <v>13320</v>
      </c>
    </row>
    <row r="168" spans="2:28" x14ac:dyDescent="0.25">
      <c r="B168" s="77" t="s">
        <v>120</v>
      </c>
      <c r="C168" s="89">
        <v>251496</v>
      </c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 spans="2:28" x14ac:dyDescent="0.25">
      <c r="B169" s="90">
        <v>5186</v>
      </c>
      <c r="C169" s="4">
        <v>251496</v>
      </c>
      <c r="D169"/>
      <c r="E169"/>
      <c r="F169"/>
      <c r="G169"/>
      <c r="J169"/>
      <c r="K169"/>
      <c r="L169"/>
      <c r="M169"/>
    </row>
    <row r="170" spans="2:28" x14ac:dyDescent="0.25">
      <c r="B170" s="77" t="s">
        <v>194</v>
      </c>
      <c r="C170" s="89">
        <v>974</v>
      </c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 spans="2:28" x14ac:dyDescent="0.25">
      <c r="B171" s="90">
        <v>9020</v>
      </c>
      <c r="C171" s="4">
        <v>974</v>
      </c>
      <c r="D171"/>
      <c r="E171"/>
      <c r="F171"/>
      <c r="G171"/>
      <c r="J171"/>
      <c r="K171"/>
      <c r="L171"/>
      <c r="M171"/>
    </row>
  </sheetData>
  <conditionalFormatting sqref="J62:J65 H1:H61 J79:J1048576">
    <cfRule type="colorScale" priority="6">
      <colorScale>
        <cfvo type="num" val="2"/>
        <cfvo type="num" val="3"/>
        <cfvo type="num" val="12"/>
        <color rgb="FFF8696B"/>
        <color rgb="FFFFEB84"/>
        <color rgb="FF63BE7B"/>
      </colorScale>
    </cfRule>
  </conditionalFormatting>
  <conditionalFormatting sqref="K3:K61">
    <cfRule type="colorScale" priority="5">
      <colorScale>
        <cfvo type="num" val="2"/>
        <cfvo type="num" val="3"/>
        <cfvo type="num" val="12"/>
        <color rgb="FFF8696B"/>
        <color rgb="FFFFEB84"/>
        <color rgb="FF63BE7B"/>
      </colorScale>
    </cfRule>
  </conditionalFormatting>
  <conditionalFormatting sqref="H66">
    <cfRule type="colorScale" priority="4">
      <colorScale>
        <cfvo type="num" val="2"/>
        <cfvo type="num" val="3"/>
        <cfvo type="num" val="12"/>
        <color rgb="FFF8696B"/>
        <color rgb="FFFFEB84"/>
        <color rgb="FF63BE7B"/>
      </colorScale>
    </cfRule>
  </conditionalFormatting>
  <conditionalFormatting sqref="H67:H78">
    <cfRule type="colorScale" priority="2">
      <colorScale>
        <cfvo type="num" val="2"/>
        <cfvo type="num" val="3"/>
        <cfvo type="num" val="12"/>
        <color rgb="FFF8696B"/>
        <color rgb="FFFFEB84"/>
        <color rgb="FF63BE7B"/>
      </colorScale>
    </cfRule>
  </conditionalFormatting>
  <conditionalFormatting sqref="K67:K78">
    <cfRule type="colorScale" priority="1">
      <colorScale>
        <cfvo type="num" val="2"/>
        <cfvo type="num" val="3"/>
        <cfvo type="num" val="12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legacy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4"/>
  <dimension ref="A2:N87"/>
  <sheetViews>
    <sheetView topLeftCell="A37" workbookViewId="0">
      <selection activeCell="G21" sqref="G21:G23"/>
    </sheetView>
  </sheetViews>
  <sheetFormatPr defaultRowHeight="15" x14ac:dyDescent="0.25"/>
  <cols>
    <col min="1" max="1" width="40.42578125" bestFit="1" customWidth="1"/>
    <col min="2" max="2" width="12" customWidth="1"/>
    <col min="3" max="3" width="11.5703125" bestFit="1" customWidth="1"/>
    <col min="4" max="4" width="7.7109375" customWidth="1"/>
    <col min="5" max="5" width="12.5703125" customWidth="1"/>
    <col min="6" max="6" width="30" style="143" bestFit="1" customWidth="1"/>
    <col min="7" max="7" width="10.140625" style="142" customWidth="1"/>
    <col min="8" max="8" width="16" customWidth="1"/>
    <col min="9" max="9" width="12.28515625" bestFit="1" customWidth="1"/>
    <col min="10" max="10" width="25.85546875" customWidth="1"/>
    <col min="11" max="11" width="20.140625" customWidth="1"/>
    <col min="12" max="12" width="40.140625" customWidth="1"/>
  </cols>
  <sheetData>
    <row r="2" spans="1:11" ht="15.75" thickBot="1" x14ac:dyDescent="0.3">
      <c r="A2" s="104"/>
    </row>
    <row r="3" spans="1:11" ht="48" thickBot="1" x14ac:dyDescent="0.3">
      <c r="A3" s="105" t="s">
        <v>1</v>
      </c>
      <c r="B3" s="108" t="s">
        <v>152</v>
      </c>
      <c r="C3" s="108" t="s">
        <v>69</v>
      </c>
      <c r="D3" s="108" t="s">
        <v>199</v>
      </c>
      <c r="E3" s="109" t="s">
        <v>212</v>
      </c>
      <c r="F3" s="108" t="s">
        <v>204</v>
      </c>
      <c r="G3" s="139" t="s">
        <v>213</v>
      </c>
      <c r="H3" s="108" t="s">
        <v>214</v>
      </c>
      <c r="I3" s="108" t="s">
        <v>215</v>
      </c>
      <c r="J3" s="106" t="s">
        <v>210</v>
      </c>
      <c r="K3" s="107" t="s">
        <v>211</v>
      </c>
    </row>
    <row r="4" spans="1:11" ht="15.75" thickBot="1" x14ac:dyDescent="0.3">
      <c r="A4" s="110" t="s">
        <v>26</v>
      </c>
      <c r="B4" s="113" t="s">
        <v>217</v>
      </c>
      <c r="C4" s="114">
        <v>45594</v>
      </c>
      <c r="D4" s="115">
        <v>1</v>
      </c>
      <c r="E4" s="116" t="s">
        <v>218</v>
      </c>
      <c r="F4" s="163" t="s">
        <v>202</v>
      </c>
      <c r="G4" s="140">
        <v>46992</v>
      </c>
      <c r="H4" s="117">
        <v>45594</v>
      </c>
      <c r="I4" s="117">
        <v>45594</v>
      </c>
      <c r="J4" s="111"/>
      <c r="K4" s="113"/>
    </row>
    <row r="5" spans="1:11" ht="15.75" thickBot="1" x14ac:dyDescent="0.3">
      <c r="A5" s="118" t="s">
        <v>26</v>
      </c>
      <c r="B5" s="119" t="s">
        <v>220</v>
      </c>
      <c r="C5" s="120">
        <v>45595</v>
      </c>
      <c r="D5" s="121">
        <v>2</v>
      </c>
      <c r="E5" s="122" t="s">
        <v>218</v>
      </c>
      <c r="F5" s="164" t="s">
        <v>203</v>
      </c>
      <c r="G5" s="141">
        <v>40320</v>
      </c>
      <c r="H5" s="117">
        <v>45595</v>
      </c>
      <c r="I5" s="117">
        <v>45595</v>
      </c>
      <c r="J5" s="112" t="s">
        <v>216</v>
      </c>
      <c r="K5" s="119" t="s">
        <v>219</v>
      </c>
    </row>
    <row r="6" spans="1:11" ht="45" thickBot="1" x14ac:dyDescent="0.3">
      <c r="A6" s="123" t="s">
        <v>3</v>
      </c>
      <c r="B6" s="113" t="s">
        <v>223</v>
      </c>
      <c r="C6" s="114">
        <v>45595</v>
      </c>
      <c r="D6" s="115">
        <v>3</v>
      </c>
      <c r="E6" s="116" t="s">
        <v>218</v>
      </c>
      <c r="F6" s="163" t="s">
        <v>295</v>
      </c>
      <c r="G6" s="140">
        <v>31920</v>
      </c>
      <c r="H6" s="117">
        <v>45595</v>
      </c>
      <c r="I6" s="117">
        <v>45596</v>
      </c>
      <c r="J6" s="112" t="s">
        <v>221</v>
      </c>
      <c r="K6" s="113" t="s">
        <v>222</v>
      </c>
    </row>
    <row r="7" spans="1:11" ht="45" thickBot="1" x14ac:dyDescent="0.3">
      <c r="A7" s="124" t="s">
        <v>5</v>
      </c>
      <c r="B7" s="119" t="s">
        <v>225</v>
      </c>
      <c r="C7" s="120">
        <v>45596</v>
      </c>
      <c r="D7" s="121">
        <v>4</v>
      </c>
      <c r="E7" s="122" t="s">
        <v>218</v>
      </c>
      <c r="F7" s="164" t="s">
        <v>294</v>
      </c>
      <c r="G7" s="141">
        <v>26304</v>
      </c>
      <c r="H7" s="117">
        <v>45596</v>
      </c>
      <c r="I7" s="117">
        <v>45596</v>
      </c>
      <c r="J7" s="112" t="s">
        <v>224</v>
      </c>
      <c r="K7" s="119" t="s">
        <v>219</v>
      </c>
    </row>
    <row r="8" spans="1:11" ht="44.25" thickBot="1" x14ac:dyDescent="0.3">
      <c r="A8" s="110" t="s">
        <v>29</v>
      </c>
      <c r="B8" s="113" t="s">
        <v>228</v>
      </c>
      <c r="C8" s="114">
        <v>45596</v>
      </c>
      <c r="D8" s="115">
        <v>5</v>
      </c>
      <c r="E8" s="116" t="s">
        <v>218</v>
      </c>
      <c r="F8" s="163" t="s">
        <v>296</v>
      </c>
      <c r="G8" s="140">
        <v>23568</v>
      </c>
      <c r="H8" s="117">
        <v>45597</v>
      </c>
      <c r="I8" s="117">
        <v>45600</v>
      </c>
      <c r="J8" s="112" t="s">
        <v>226</v>
      </c>
      <c r="K8" s="113" t="s">
        <v>227</v>
      </c>
    </row>
    <row r="9" spans="1:11" ht="44.25" thickBot="1" x14ac:dyDescent="0.3">
      <c r="A9" s="118" t="s">
        <v>28</v>
      </c>
      <c r="B9" s="119" t="s">
        <v>228</v>
      </c>
      <c r="C9" s="120">
        <v>45596</v>
      </c>
      <c r="D9" s="121">
        <v>6</v>
      </c>
      <c r="E9" s="122" t="s">
        <v>218</v>
      </c>
      <c r="F9" s="164" t="s">
        <v>297</v>
      </c>
      <c r="G9" s="141">
        <v>5760</v>
      </c>
      <c r="H9" s="117">
        <v>45600</v>
      </c>
      <c r="I9" s="117">
        <v>45600</v>
      </c>
      <c r="J9" s="112" t="s">
        <v>229</v>
      </c>
      <c r="K9" s="125" t="s">
        <v>230</v>
      </c>
    </row>
    <row r="10" spans="1:11" ht="15.75" thickBot="1" x14ac:dyDescent="0.3">
      <c r="A10" s="126" t="s">
        <v>33</v>
      </c>
      <c r="B10" s="115"/>
      <c r="C10" s="115"/>
      <c r="D10" s="115">
        <v>7</v>
      </c>
      <c r="E10" s="116" t="s">
        <v>218</v>
      </c>
      <c r="F10" s="163"/>
      <c r="G10" s="140"/>
      <c r="H10" s="117"/>
      <c r="I10" s="117"/>
      <c r="J10" s="112" t="s">
        <v>231</v>
      </c>
      <c r="K10" s="115" t="s">
        <v>232</v>
      </c>
    </row>
    <row r="11" spans="1:11" ht="15.75" thickBot="1" x14ac:dyDescent="0.3">
      <c r="A11" s="127" t="s">
        <v>6</v>
      </c>
      <c r="B11" s="121" t="s">
        <v>235</v>
      </c>
      <c r="C11" s="121"/>
      <c r="D11" s="121">
        <v>8</v>
      </c>
      <c r="E11" s="122" t="s">
        <v>218</v>
      </c>
      <c r="F11" s="164"/>
      <c r="G11" s="141"/>
      <c r="H11" s="117"/>
      <c r="I11" s="117"/>
      <c r="J11" s="128" t="s">
        <v>233</v>
      </c>
      <c r="K11" s="121" t="s">
        <v>234</v>
      </c>
    </row>
    <row r="12" spans="1:11" ht="15.75" thickBot="1" x14ac:dyDescent="0.3">
      <c r="A12" s="129" t="s">
        <v>31</v>
      </c>
      <c r="B12" s="115"/>
      <c r="C12" s="115"/>
      <c r="D12" s="115">
        <v>9</v>
      </c>
      <c r="E12" s="116" t="s">
        <v>218</v>
      </c>
      <c r="F12" s="163"/>
      <c r="G12" s="140"/>
      <c r="H12" s="117"/>
      <c r="I12" s="117"/>
      <c r="J12" s="128" t="s">
        <v>236</v>
      </c>
      <c r="K12" s="115" t="s">
        <v>237</v>
      </c>
    </row>
    <row r="13" spans="1:11" ht="15.75" thickBot="1" x14ac:dyDescent="0.3">
      <c r="A13" s="104"/>
    </row>
    <row r="14" spans="1:11" ht="48" thickBot="1" x14ac:dyDescent="0.3">
      <c r="A14" s="105" t="s">
        <v>1</v>
      </c>
      <c r="B14" s="108" t="s">
        <v>152</v>
      </c>
      <c r="C14" s="108" t="s">
        <v>69</v>
      </c>
      <c r="D14" s="108" t="s">
        <v>199</v>
      </c>
      <c r="E14" s="109" t="s">
        <v>212</v>
      </c>
      <c r="F14" s="108" t="s">
        <v>204</v>
      </c>
      <c r="G14" s="139" t="s">
        <v>213</v>
      </c>
      <c r="H14" s="108" t="s">
        <v>205</v>
      </c>
      <c r="I14" s="108" t="s">
        <v>206</v>
      </c>
      <c r="J14" s="106" t="s">
        <v>210</v>
      </c>
      <c r="K14" s="107" t="s">
        <v>211</v>
      </c>
    </row>
    <row r="15" spans="1:11" ht="15.75" thickBot="1" x14ac:dyDescent="0.3">
      <c r="A15" s="126" t="s">
        <v>39</v>
      </c>
      <c r="B15" s="130" t="s">
        <v>240</v>
      </c>
      <c r="C15" s="131">
        <v>45593</v>
      </c>
      <c r="D15" s="115">
        <v>1</v>
      </c>
      <c r="E15" s="132" t="s">
        <v>241</v>
      </c>
      <c r="F15" s="165" t="s">
        <v>207</v>
      </c>
      <c r="G15" s="140">
        <v>39960</v>
      </c>
      <c r="H15" s="117">
        <v>45593</v>
      </c>
      <c r="I15" s="117">
        <v>45594</v>
      </c>
      <c r="J15" s="128" t="s">
        <v>238</v>
      </c>
      <c r="K15" s="115" t="s">
        <v>239</v>
      </c>
    </row>
    <row r="16" spans="1:11" ht="15.75" thickBot="1" x14ac:dyDescent="0.3">
      <c r="A16" s="127" t="s">
        <v>13</v>
      </c>
      <c r="B16" s="121" t="s">
        <v>244</v>
      </c>
      <c r="C16" s="131">
        <v>45594</v>
      </c>
      <c r="D16" s="121">
        <v>2</v>
      </c>
      <c r="E16" s="132" t="s">
        <v>241</v>
      </c>
      <c r="F16" s="166" t="s">
        <v>209</v>
      </c>
      <c r="G16" s="141">
        <v>22812</v>
      </c>
      <c r="H16" s="117">
        <v>45594</v>
      </c>
      <c r="I16" s="117">
        <v>45595</v>
      </c>
      <c r="J16" s="128" t="s">
        <v>242</v>
      </c>
      <c r="K16" s="121" t="s">
        <v>243</v>
      </c>
    </row>
    <row r="17" spans="1:12" ht="15.75" thickBot="1" x14ac:dyDescent="0.3">
      <c r="A17" s="133" t="s">
        <v>12</v>
      </c>
      <c r="B17" s="115" t="s">
        <v>246</v>
      </c>
      <c r="C17" s="131">
        <v>45595</v>
      </c>
      <c r="D17" s="115">
        <v>3</v>
      </c>
      <c r="E17" s="132" t="s">
        <v>241</v>
      </c>
      <c r="F17" s="165"/>
      <c r="G17" s="140">
        <v>11232</v>
      </c>
      <c r="H17" s="117">
        <v>45596</v>
      </c>
      <c r="I17" s="117">
        <v>45597</v>
      </c>
      <c r="J17" s="128" t="s">
        <v>245</v>
      </c>
      <c r="K17" s="115" t="s">
        <v>222</v>
      </c>
    </row>
    <row r="18" spans="1:12" ht="15.75" thickBot="1" x14ac:dyDescent="0.3">
      <c r="A18" s="127" t="s">
        <v>11</v>
      </c>
      <c r="B18" s="121" t="s">
        <v>248</v>
      </c>
      <c r="C18" s="131">
        <v>45595</v>
      </c>
      <c r="D18" s="121">
        <v>4</v>
      </c>
      <c r="E18" s="132" t="s">
        <v>241</v>
      </c>
      <c r="F18" s="166"/>
      <c r="G18" s="141">
        <v>5860</v>
      </c>
      <c r="H18" s="117">
        <v>45597</v>
      </c>
      <c r="I18" s="117">
        <v>45597</v>
      </c>
      <c r="J18" s="128" t="s">
        <v>247</v>
      </c>
      <c r="K18" s="121" t="s">
        <v>219</v>
      </c>
    </row>
    <row r="19" spans="1:12" ht="15.75" thickBot="1" x14ac:dyDescent="0.3">
      <c r="A19" s="126" t="s">
        <v>42</v>
      </c>
      <c r="B19" s="115" t="s">
        <v>250</v>
      </c>
      <c r="C19" s="131">
        <v>45596</v>
      </c>
      <c r="D19" s="115">
        <v>5</v>
      </c>
      <c r="E19" s="132" t="s">
        <v>241</v>
      </c>
      <c r="F19" s="165" t="s">
        <v>251</v>
      </c>
      <c r="G19" s="140">
        <v>4464</v>
      </c>
      <c r="H19" s="117">
        <v>45600</v>
      </c>
      <c r="I19" s="117">
        <v>45600</v>
      </c>
      <c r="J19" s="128" t="s">
        <v>249</v>
      </c>
      <c r="K19" s="115" t="s">
        <v>234</v>
      </c>
    </row>
    <row r="20" spans="1:12" ht="15.75" thickBot="1" x14ac:dyDescent="0.3">
      <c r="A20" s="126" t="s">
        <v>39</v>
      </c>
      <c r="B20" s="130" t="s">
        <v>240</v>
      </c>
      <c r="C20" s="117">
        <v>45600</v>
      </c>
      <c r="D20" s="115">
        <v>11</v>
      </c>
      <c r="E20" s="116" t="s">
        <v>254</v>
      </c>
      <c r="F20" s="165"/>
      <c r="G20" s="140">
        <v>37800</v>
      </c>
      <c r="H20" s="117">
        <v>45600</v>
      </c>
      <c r="I20" s="117">
        <v>45602</v>
      </c>
      <c r="J20" s="128" t="s">
        <v>238</v>
      </c>
      <c r="K20" s="115" t="s">
        <v>239</v>
      </c>
    </row>
    <row r="21" spans="1:12" ht="15.75" thickBot="1" x14ac:dyDescent="0.3">
      <c r="A21" s="133" t="s">
        <v>18</v>
      </c>
      <c r="B21" s="115" t="s">
        <v>257</v>
      </c>
      <c r="C21" s="117">
        <v>45596</v>
      </c>
      <c r="D21" s="115">
        <v>7</v>
      </c>
      <c r="E21" s="116" t="s">
        <v>254</v>
      </c>
      <c r="F21" s="165"/>
      <c r="G21" s="140">
        <v>4566</v>
      </c>
      <c r="H21" s="117">
        <v>45603</v>
      </c>
      <c r="I21" s="117">
        <v>45603</v>
      </c>
      <c r="J21" s="128" t="s">
        <v>255</v>
      </c>
      <c r="K21" s="115" t="s">
        <v>256</v>
      </c>
    </row>
    <row r="22" spans="1:12" ht="15.75" thickBot="1" x14ac:dyDescent="0.3">
      <c r="A22" s="127" t="s">
        <v>19</v>
      </c>
      <c r="B22" s="121" t="s">
        <v>260</v>
      </c>
      <c r="C22" s="137">
        <v>45597</v>
      </c>
      <c r="D22" s="121">
        <v>8</v>
      </c>
      <c r="E22" s="122" t="s">
        <v>254</v>
      </c>
      <c r="F22" s="166"/>
      <c r="G22" s="141">
        <v>5814</v>
      </c>
      <c r="H22" s="117">
        <v>45603</v>
      </c>
      <c r="I22" s="117">
        <v>45604</v>
      </c>
      <c r="J22" s="128" t="s">
        <v>258</v>
      </c>
      <c r="K22" s="121" t="s">
        <v>259</v>
      </c>
    </row>
    <row r="23" spans="1:12" ht="15.75" thickBot="1" x14ac:dyDescent="0.3">
      <c r="A23" s="133" t="s">
        <v>20</v>
      </c>
      <c r="B23" s="115" t="s">
        <v>260</v>
      </c>
      <c r="C23" s="117">
        <v>45597</v>
      </c>
      <c r="D23" s="115">
        <v>9</v>
      </c>
      <c r="E23" s="116" t="s">
        <v>254</v>
      </c>
      <c r="F23" s="165"/>
      <c r="G23" s="140">
        <v>6918</v>
      </c>
      <c r="H23" s="117">
        <v>45604</v>
      </c>
      <c r="I23" s="117">
        <v>45604</v>
      </c>
      <c r="J23" s="128" t="s">
        <v>261</v>
      </c>
      <c r="K23" s="115" t="s">
        <v>262</v>
      </c>
    </row>
    <row r="24" spans="1:12" ht="15.75" thickBot="1" x14ac:dyDescent="0.3">
      <c r="A24" s="134" t="s">
        <v>21</v>
      </c>
      <c r="B24" s="135" t="s">
        <v>253</v>
      </c>
      <c r="C24" s="136">
        <v>45590</v>
      </c>
      <c r="D24" s="121">
        <v>6</v>
      </c>
      <c r="E24" s="122" t="s">
        <v>254</v>
      </c>
      <c r="F24" s="166" t="s">
        <v>208</v>
      </c>
      <c r="G24" s="141"/>
      <c r="H24" s="117"/>
      <c r="I24" s="117"/>
      <c r="J24" s="135" t="s">
        <v>252</v>
      </c>
      <c r="K24" s="135" t="s">
        <v>222</v>
      </c>
    </row>
    <row r="25" spans="1:12" ht="15.75" thickBot="1" x14ac:dyDescent="0.3">
      <c r="A25" s="138" t="s">
        <v>24</v>
      </c>
      <c r="B25" s="121" t="s">
        <v>235</v>
      </c>
      <c r="C25" s="137">
        <v>45600</v>
      </c>
      <c r="D25" s="121">
        <v>10</v>
      </c>
      <c r="E25" s="122" t="s">
        <v>254</v>
      </c>
      <c r="F25" s="166"/>
      <c r="G25" s="141"/>
      <c r="H25" s="117"/>
      <c r="I25" s="117"/>
      <c r="J25" s="128" t="s">
        <v>263</v>
      </c>
      <c r="K25" s="121" t="s">
        <v>264</v>
      </c>
    </row>
    <row r="26" spans="1:12" ht="15.75" thickBot="1" x14ac:dyDescent="0.3">
      <c r="A26" s="138" t="s">
        <v>265</v>
      </c>
      <c r="B26" s="121"/>
      <c r="C26" s="121"/>
      <c r="D26" s="121"/>
      <c r="E26" s="122" t="s">
        <v>254</v>
      </c>
      <c r="F26" s="166"/>
      <c r="G26" s="141"/>
      <c r="H26" s="117"/>
      <c r="I26" s="117"/>
      <c r="J26" s="128"/>
      <c r="K26" s="121"/>
    </row>
    <row r="27" spans="1:12" ht="15.75" thickBot="1" x14ac:dyDescent="0.3">
      <c r="A27" s="129" t="s">
        <v>266</v>
      </c>
      <c r="B27" s="115"/>
      <c r="C27" s="115"/>
      <c r="D27" s="115"/>
      <c r="E27" s="116"/>
      <c r="F27" s="165"/>
      <c r="G27" s="140"/>
      <c r="H27" s="117"/>
      <c r="I27" s="117"/>
      <c r="J27" s="128"/>
      <c r="K27" s="115"/>
    </row>
    <row r="28" spans="1:12" x14ac:dyDescent="0.25">
      <c r="A28" s="104"/>
    </row>
    <row r="29" spans="1:12" s="187" customFormat="1" ht="42.75" customHeight="1" x14ac:dyDescent="0.25">
      <c r="A29" s="181" t="s">
        <v>300</v>
      </c>
      <c r="B29" s="182" t="s">
        <v>270</v>
      </c>
      <c r="C29" s="182" t="s">
        <v>271</v>
      </c>
      <c r="D29" s="183" t="s">
        <v>157</v>
      </c>
      <c r="E29" s="183" t="s">
        <v>70</v>
      </c>
      <c r="F29" s="183" t="s">
        <v>200</v>
      </c>
      <c r="G29" s="184" t="s">
        <v>298</v>
      </c>
      <c r="H29" s="184" t="s">
        <v>205</v>
      </c>
      <c r="I29" s="185" t="s">
        <v>206</v>
      </c>
      <c r="J29" s="184" t="s">
        <v>267</v>
      </c>
      <c r="K29" s="185" t="s">
        <v>268</v>
      </c>
      <c r="L29" s="186" t="s">
        <v>269</v>
      </c>
    </row>
    <row r="30" spans="1:12" ht="30" x14ac:dyDescent="0.25">
      <c r="A30" s="170" t="s">
        <v>30</v>
      </c>
      <c r="B30" s="146">
        <v>75000</v>
      </c>
      <c r="C30" s="147">
        <v>45596</v>
      </c>
      <c r="D30" s="148"/>
      <c r="E30" s="148" t="s">
        <v>196</v>
      </c>
      <c r="F30" s="167" t="s">
        <v>303</v>
      </c>
      <c r="G30" s="149"/>
      <c r="H30" s="196">
        <v>45600</v>
      </c>
      <c r="I30" s="197"/>
      <c r="J30" s="149" t="s">
        <v>78</v>
      </c>
      <c r="K30" s="150">
        <v>217914</v>
      </c>
      <c r="L30" s="172" t="s">
        <v>274</v>
      </c>
    </row>
    <row r="31" spans="1:12" ht="15.75" x14ac:dyDescent="0.25">
      <c r="A31" s="170" t="s">
        <v>29</v>
      </c>
      <c r="B31" s="146">
        <v>10000</v>
      </c>
      <c r="C31" s="147">
        <v>45596</v>
      </c>
      <c r="D31" s="148"/>
      <c r="E31" s="148" t="s">
        <v>196</v>
      </c>
      <c r="F31" s="167" t="s">
        <v>293</v>
      </c>
      <c r="G31" s="149">
        <v>12408</v>
      </c>
      <c r="H31" s="196">
        <v>45597</v>
      </c>
      <c r="I31" s="197" t="s">
        <v>302</v>
      </c>
      <c r="J31" s="149" t="s">
        <v>78</v>
      </c>
      <c r="K31" s="150">
        <v>30606</v>
      </c>
      <c r="L31" s="172" t="s">
        <v>278</v>
      </c>
    </row>
    <row r="32" spans="1:12" ht="15.75" x14ac:dyDescent="0.25">
      <c r="A32" s="170" t="s">
        <v>26</v>
      </c>
      <c r="B32" s="146">
        <v>100000</v>
      </c>
      <c r="C32" s="147">
        <v>45597</v>
      </c>
      <c r="D32" s="148"/>
      <c r="E32" s="148" t="s">
        <v>196</v>
      </c>
      <c r="F32" s="167" t="s">
        <v>291</v>
      </c>
      <c r="G32" s="149"/>
      <c r="H32" s="196"/>
      <c r="I32" s="197"/>
      <c r="J32" s="149" t="s">
        <v>272</v>
      </c>
      <c r="K32" s="150">
        <v>783062</v>
      </c>
      <c r="L32" s="172" t="s">
        <v>273</v>
      </c>
    </row>
    <row r="33" spans="1:12" ht="15.75" x14ac:dyDescent="0.25">
      <c r="A33" s="170" t="s">
        <v>28</v>
      </c>
      <c r="B33" s="146">
        <v>10000</v>
      </c>
      <c r="C33" s="147">
        <v>45597</v>
      </c>
      <c r="D33" s="148"/>
      <c r="E33" s="148" t="s">
        <v>196</v>
      </c>
      <c r="F33" s="167" t="s">
        <v>292</v>
      </c>
      <c r="G33" s="149">
        <v>11496</v>
      </c>
      <c r="H33" s="196">
        <v>45600</v>
      </c>
      <c r="I33" s="197">
        <v>45600</v>
      </c>
      <c r="J33" s="149" t="s">
        <v>276</v>
      </c>
      <c r="K33" s="150">
        <v>29116</v>
      </c>
      <c r="L33" s="172" t="s">
        <v>277</v>
      </c>
    </row>
    <row r="34" spans="1:12" ht="15.75" x14ac:dyDescent="0.25">
      <c r="A34" s="171" t="s">
        <v>27</v>
      </c>
      <c r="B34" s="146">
        <v>15000</v>
      </c>
      <c r="C34" s="147"/>
      <c r="D34" s="17"/>
      <c r="E34" s="148" t="s">
        <v>196</v>
      </c>
      <c r="F34" s="20"/>
      <c r="G34" s="149"/>
      <c r="H34" s="196"/>
      <c r="I34" s="197"/>
      <c r="J34" s="149" t="s">
        <v>77</v>
      </c>
      <c r="K34" s="150">
        <v>44293</v>
      </c>
      <c r="L34" s="172" t="s">
        <v>275</v>
      </c>
    </row>
    <row r="35" spans="1:12" ht="15.75" x14ac:dyDescent="0.25">
      <c r="A35" s="171" t="s">
        <v>38</v>
      </c>
      <c r="B35" s="151"/>
      <c r="C35" s="151"/>
      <c r="D35" s="148"/>
      <c r="E35" s="148" t="s">
        <v>196</v>
      </c>
      <c r="F35" s="167"/>
      <c r="G35" s="149">
        <v>27876</v>
      </c>
      <c r="H35" s="196">
        <v>45601</v>
      </c>
      <c r="I35" s="197"/>
      <c r="J35" s="149" t="s">
        <v>78</v>
      </c>
      <c r="K35" s="150">
        <v>37392</v>
      </c>
      <c r="L35" s="172"/>
    </row>
    <row r="36" spans="1:12" ht="75" x14ac:dyDescent="0.25">
      <c r="A36" s="173"/>
      <c r="B36" s="174"/>
      <c r="C36" s="174"/>
      <c r="D36" s="175"/>
      <c r="E36" s="176" t="s">
        <v>196</v>
      </c>
      <c r="F36" s="177" t="s">
        <v>301</v>
      </c>
      <c r="G36" s="178"/>
      <c r="H36" s="198"/>
      <c r="I36" s="199"/>
      <c r="J36" s="178"/>
      <c r="K36" s="179"/>
      <c r="L36" s="180"/>
    </row>
    <row r="37" spans="1:12" ht="15.75" x14ac:dyDescent="0.25">
      <c r="A37" s="171"/>
      <c r="B37" s="146"/>
      <c r="C37" s="147"/>
      <c r="D37" s="148"/>
      <c r="E37" s="148"/>
      <c r="F37" s="167"/>
      <c r="G37" s="149"/>
      <c r="H37" s="149"/>
      <c r="I37" s="150"/>
      <c r="J37" s="149"/>
      <c r="K37" s="150"/>
      <c r="L37" s="172"/>
    </row>
    <row r="38" spans="1:12" ht="15.75" x14ac:dyDescent="0.25">
      <c r="A38" s="188" t="s">
        <v>1</v>
      </c>
      <c r="B38" s="189" t="s">
        <v>270</v>
      </c>
      <c r="C38" s="190" t="s">
        <v>271</v>
      </c>
      <c r="D38" s="191" t="s">
        <v>157</v>
      </c>
      <c r="E38" s="191" t="s">
        <v>70</v>
      </c>
      <c r="F38" s="192" t="s">
        <v>200</v>
      </c>
      <c r="G38" s="193" t="s">
        <v>298</v>
      </c>
      <c r="H38" s="193" t="s">
        <v>197</v>
      </c>
      <c r="I38" s="194" t="s">
        <v>299</v>
      </c>
      <c r="J38" s="193" t="s">
        <v>267</v>
      </c>
      <c r="K38" s="194" t="s">
        <v>268</v>
      </c>
      <c r="L38" s="195" t="s">
        <v>269</v>
      </c>
    </row>
    <row r="39" spans="1:12" ht="15.75" x14ac:dyDescent="0.25">
      <c r="A39" s="169" t="s">
        <v>2</v>
      </c>
      <c r="B39" s="146">
        <v>10000</v>
      </c>
      <c r="C39" s="147">
        <v>45595</v>
      </c>
      <c r="D39" s="17"/>
      <c r="E39" s="17" t="s">
        <v>195</v>
      </c>
      <c r="F39" s="20"/>
      <c r="G39" s="149">
        <v>11424</v>
      </c>
      <c r="H39" s="196"/>
      <c r="I39" s="197"/>
      <c r="J39" s="149"/>
      <c r="K39" s="150">
        <v>37163</v>
      </c>
      <c r="L39" s="153" t="s">
        <v>279</v>
      </c>
    </row>
    <row r="40" spans="1:12" ht="15.75" x14ac:dyDescent="0.25">
      <c r="A40" s="169" t="s">
        <v>3</v>
      </c>
      <c r="B40" s="146">
        <v>45000</v>
      </c>
      <c r="C40" s="147">
        <v>45596</v>
      </c>
      <c r="D40" s="17"/>
      <c r="E40" s="17" t="s">
        <v>195</v>
      </c>
      <c r="F40" s="20"/>
      <c r="G40" s="149">
        <v>12888</v>
      </c>
      <c r="H40" s="196">
        <v>45596</v>
      </c>
      <c r="I40" s="197">
        <v>45596</v>
      </c>
      <c r="J40" s="149" t="s">
        <v>78</v>
      </c>
      <c r="K40" s="150">
        <v>127982</v>
      </c>
      <c r="L40" s="153" t="s">
        <v>280</v>
      </c>
    </row>
    <row r="41" spans="1:12" ht="15.75" x14ac:dyDescent="0.25">
      <c r="A41" s="156" t="s">
        <v>5</v>
      </c>
      <c r="B41" s="146">
        <v>70000</v>
      </c>
      <c r="C41" s="147">
        <v>45596</v>
      </c>
      <c r="D41" s="17"/>
      <c r="E41" s="17" t="s">
        <v>195</v>
      </c>
      <c r="F41" s="20"/>
      <c r="G41" s="149">
        <v>77592</v>
      </c>
      <c r="H41" s="196">
        <v>45596</v>
      </c>
      <c r="I41" s="197">
        <v>45600</v>
      </c>
      <c r="J41" s="149" t="s">
        <v>283</v>
      </c>
      <c r="K41" s="150">
        <v>277521</v>
      </c>
      <c r="L41" s="153" t="s">
        <v>284</v>
      </c>
    </row>
    <row r="42" spans="1:12" ht="15.75" x14ac:dyDescent="0.25">
      <c r="A42" s="156" t="s">
        <v>5</v>
      </c>
      <c r="B42" s="146"/>
      <c r="C42" s="147">
        <v>45597</v>
      </c>
      <c r="D42" s="17"/>
      <c r="E42" s="17" t="s">
        <v>195</v>
      </c>
      <c r="F42" s="20"/>
      <c r="G42" s="149"/>
      <c r="H42" s="196"/>
      <c r="I42" s="197"/>
      <c r="J42" s="149"/>
      <c r="K42" s="150"/>
      <c r="L42" s="153"/>
    </row>
    <row r="43" spans="1:12" ht="15.75" x14ac:dyDescent="0.25">
      <c r="A43" s="156" t="s">
        <v>4</v>
      </c>
      <c r="B43" s="146">
        <v>45000</v>
      </c>
      <c r="C43" s="147">
        <v>45597</v>
      </c>
      <c r="D43" s="17"/>
      <c r="E43" s="17" t="s">
        <v>195</v>
      </c>
      <c r="F43" s="20"/>
      <c r="G43" s="149"/>
      <c r="H43" s="196"/>
      <c r="I43" s="197"/>
      <c r="J43" s="149" t="s">
        <v>281</v>
      </c>
      <c r="K43" s="150">
        <v>168168</v>
      </c>
      <c r="L43" s="153" t="s">
        <v>282</v>
      </c>
    </row>
    <row r="44" spans="1:12" ht="18" x14ac:dyDescent="0.25">
      <c r="A44" s="154" t="s">
        <v>71</v>
      </c>
      <c r="B44" s="145"/>
      <c r="C44" s="145"/>
      <c r="D44" s="17"/>
      <c r="E44" s="17" t="s">
        <v>195</v>
      </c>
      <c r="F44" s="20"/>
      <c r="G44" s="152"/>
      <c r="H44" s="200"/>
      <c r="I44" s="201"/>
      <c r="J44" s="152"/>
      <c r="K44" s="144" t="s">
        <v>151</v>
      </c>
      <c r="L44" s="155"/>
    </row>
    <row r="45" spans="1:12" ht="47.25" x14ac:dyDescent="0.25">
      <c r="A45" s="156" t="s">
        <v>6</v>
      </c>
      <c r="B45" s="151" t="s">
        <v>286</v>
      </c>
      <c r="C45" s="151"/>
      <c r="D45" s="17"/>
      <c r="E45" s="17" t="s">
        <v>195</v>
      </c>
      <c r="F45" s="20"/>
      <c r="G45" s="149"/>
      <c r="H45" s="196"/>
      <c r="I45" s="197"/>
      <c r="J45" s="149" t="s">
        <v>78</v>
      </c>
      <c r="K45" s="150">
        <v>3416</v>
      </c>
      <c r="L45" s="153" t="s">
        <v>285</v>
      </c>
    </row>
    <row r="46" spans="1:12" ht="15.75" x14ac:dyDescent="0.25">
      <c r="A46" s="156" t="s">
        <v>7</v>
      </c>
      <c r="B46" s="151"/>
      <c r="C46" s="151"/>
      <c r="D46" s="17"/>
      <c r="E46" s="17" t="s">
        <v>195</v>
      </c>
      <c r="F46" s="20"/>
      <c r="G46" s="149"/>
      <c r="H46" s="196"/>
      <c r="I46" s="197"/>
      <c r="J46" s="149" t="s">
        <v>78</v>
      </c>
      <c r="K46" s="150">
        <v>9671</v>
      </c>
      <c r="L46" s="153" t="s">
        <v>287</v>
      </c>
    </row>
    <row r="47" spans="1:12" ht="15.75" x14ac:dyDescent="0.25">
      <c r="A47" s="156" t="s">
        <v>8</v>
      </c>
      <c r="B47" s="151"/>
      <c r="C47" s="151"/>
      <c r="D47" s="17"/>
      <c r="E47" s="17" t="s">
        <v>195</v>
      </c>
      <c r="F47" s="20"/>
      <c r="G47" s="149"/>
      <c r="H47" s="196"/>
      <c r="I47" s="197"/>
      <c r="J47" s="149" t="s">
        <v>288</v>
      </c>
      <c r="K47" s="150">
        <v>7863</v>
      </c>
      <c r="L47" s="153" t="s">
        <v>289</v>
      </c>
    </row>
    <row r="48" spans="1:12" ht="16.5" thickBot="1" x14ac:dyDescent="0.3">
      <c r="A48" s="157" t="s">
        <v>9</v>
      </c>
      <c r="B48" s="158"/>
      <c r="C48" s="158"/>
      <c r="D48" s="159"/>
      <c r="E48" s="17" t="s">
        <v>195</v>
      </c>
      <c r="F48" s="168"/>
      <c r="G48" s="160"/>
      <c r="H48" s="202"/>
      <c r="I48" s="203"/>
      <c r="J48" s="160" t="s">
        <v>78</v>
      </c>
      <c r="K48" s="161">
        <v>13740</v>
      </c>
      <c r="L48" s="162" t="s">
        <v>290</v>
      </c>
    </row>
    <row r="65" spans="1:14" ht="15.75" thickBot="1" x14ac:dyDescent="0.3"/>
    <row r="66" spans="1:14" ht="42.75" x14ac:dyDescent="0.25">
      <c r="A66" s="206" t="s">
        <v>1</v>
      </c>
      <c r="B66" s="208" t="s">
        <v>51</v>
      </c>
      <c r="C66" s="209" t="s">
        <v>50</v>
      </c>
      <c r="D66" s="210" t="s">
        <v>52</v>
      </c>
      <c r="E66" s="211" t="s">
        <v>150</v>
      </c>
      <c r="F66" s="212" t="s">
        <v>53</v>
      </c>
      <c r="G66" s="213" t="s">
        <v>54</v>
      </c>
      <c r="H66" s="214" t="s">
        <v>55</v>
      </c>
      <c r="I66" s="207" t="s">
        <v>152</v>
      </c>
      <c r="J66" s="215" t="s">
        <v>69</v>
      </c>
    </row>
    <row r="67" spans="1:14" x14ac:dyDescent="0.25">
      <c r="A67" s="216" t="s">
        <v>6</v>
      </c>
      <c r="B67" s="217">
        <v>3416.3333333333335</v>
      </c>
      <c r="C67" s="217">
        <v>0</v>
      </c>
      <c r="D67" s="218">
        <v>0</v>
      </c>
      <c r="E67" s="219">
        <v>1056</v>
      </c>
      <c r="F67" s="220">
        <v>-1056</v>
      </c>
      <c r="G67" s="219">
        <v>-9.2730998146160601</v>
      </c>
      <c r="H67" s="219">
        <v>4472.3333333333339</v>
      </c>
      <c r="I67" s="221">
        <v>8352</v>
      </c>
      <c r="J67" s="222" t="s">
        <v>306</v>
      </c>
    </row>
    <row r="68" spans="1:14" x14ac:dyDescent="0.25">
      <c r="A68" s="216" t="s">
        <v>7</v>
      </c>
      <c r="B68" s="217">
        <v>9671.3333333333339</v>
      </c>
      <c r="C68" s="217">
        <v>0</v>
      </c>
      <c r="D68" s="218">
        <v>0</v>
      </c>
      <c r="E68" s="219">
        <v>4224</v>
      </c>
      <c r="F68" s="220">
        <v>-4224</v>
      </c>
      <c r="G68" s="219">
        <v>-13.102640104777004</v>
      </c>
      <c r="H68" s="219">
        <v>13895.333333333334</v>
      </c>
      <c r="I68" s="221">
        <v>576</v>
      </c>
      <c r="J68" s="222" t="s">
        <v>304</v>
      </c>
    </row>
    <row r="69" spans="1:14" x14ac:dyDescent="0.25">
      <c r="A69" s="216" t="s">
        <v>8</v>
      </c>
      <c r="B69" s="217">
        <v>7863</v>
      </c>
      <c r="C69" s="217">
        <v>0</v>
      </c>
      <c r="D69" s="218">
        <v>0</v>
      </c>
      <c r="E69" s="219">
        <v>1920</v>
      </c>
      <c r="F69" s="220">
        <v>-1920</v>
      </c>
      <c r="G69" s="223">
        <v>-7.3254483021747419</v>
      </c>
      <c r="H69" s="223">
        <v>9783</v>
      </c>
      <c r="I69" s="221">
        <v>27360</v>
      </c>
      <c r="J69" s="222" t="s">
        <v>306</v>
      </c>
    </row>
    <row r="70" spans="1:14" x14ac:dyDescent="0.25">
      <c r="A70" s="216" t="s">
        <v>9</v>
      </c>
      <c r="B70" s="217">
        <v>13740.083333333334</v>
      </c>
      <c r="C70" s="217">
        <v>0</v>
      </c>
      <c r="D70" s="218">
        <v>0</v>
      </c>
      <c r="E70" s="219">
        <v>3120</v>
      </c>
      <c r="F70" s="220">
        <v>-3120</v>
      </c>
      <c r="G70" s="219">
        <v>-6.8121857582134995</v>
      </c>
      <c r="H70" s="219">
        <v>16860.083333333336</v>
      </c>
      <c r="I70" s="221">
        <v>49910</v>
      </c>
      <c r="J70" s="222" t="s">
        <v>307</v>
      </c>
    </row>
    <row r="72" spans="1:14" ht="15.75" thickBot="1" x14ac:dyDescent="0.3"/>
    <row r="73" spans="1:14" ht="42.75" x14ac:dyDescent="0.25">
      <c r="A73" s="206" t="s">
        <v>1</v>
      </c>
      <c r="B73" s="208" t="s">
        <v>51</v>
      </c>
      <c r="C73" s="209" t="s">
        <v>50</v>
      </c>
      <c r="D73" s="210" t="s">
        <v>52</v>
      </c>
      <c r="E73" s="211" t="s">
        <v>150</v>
      </c>
      <c r="F73" s="212" t="s">
        <v>53</v>
      </c>
      <c r="G73" s="213" t="s">
        <v>54</v>
      </c>
      <c r="H73" s="214" t="s">
        <v>55</v>
      </c>
      <c r="I73" s="207" t="s">
        <v>152</v>
      </c>
      <c r="J73" s="215" t="s">
        <v>69</v>
      </c>
    </row>
    <row r="74" spans="1:14" x14ac:dyDescent="0.25">
      <c r="A74" s="216" t="s">
        <v>2</v>
      </c>
      <c r="B74" s="217">
        <v>37162.833333333336</v>
      </c>
      <c r="C74" s="217">
        <v>10752</v>
      </c>
      <c r="D74" s="218">
        <v>8.6796396040847252</v>
      </c>
      <c r="E74" s="219">
        <v>15288</v>
      </c>
      <c r="F74" s="220">
        <v>-4536</v>
      </c>
      <c r="G74" s="219">
        <v>-3.6617229579732435</v>
      </c>
      <c r="H74" s="219">
        <v>41698.833333333336</v>
      </c>
      <c r="I74" s="221">
        <v>23760</v>
      </c>
      <c r="J74" s="222" t="s">
        <v>308</v>
      </c>
    </row>
    <row r="75" spans="1:14" x14ac:dyDescent="0.25">
      <c r="A75" s="216" t="s">
        <v>3</v>
      </c>
      <c r="B75" s="217">
        <v>127982.25</v>
      </c>
      <c r="C75" s="217">
        <v>13440</v>
      </c>
      <c r="D75" s="218">
        <v>3.1504368769888011</v>
      </c>
      <c r="E75" s="219">
        <v>37728</v>
      </c>
      <c r="F75" s="220">
        <v>-24288</v>
      </c>
      <c r="G75" s="219">
        <v>-5.6932894991297625</v>
      </c>
      <c r="H75" s="219">
        <v>152270.25</v>
      </c>
      <c r="I75" s="221">
        <v>13478</v>
      </c>
      <c r="J75" s="222" t="s">
        <v>308</v>
      </c>
    </row>
    <row r="76" spans="1:14" x14ac:dyDescent="0.25">
      <c r="A76" s="216" t="s">
        <v>4</v>
      </c>
      <c r="B76" s="217">
        <v>168167.75</v>
      </c>
      <c r="C76" s="217">
        <v>11827.2</v>
      </c>
      <c r="D76" s="218">
        <v>2.1098932464756177</v>
      </c>
      <c r="E76" s="219">
        <v>39480</v>
      </c>
      <c r="F76" s="220">
        <v>-27652.799999999999</v>
      </c>
      <c r="G76" s="219">
        <v>-4.9330742666177079</v>
      </c>
      <c r="H76" s="219">
        <v>195820.55</v>
      </c>
      <c r="I76" s="221">
        <v>86112</v>
      </c>
      <c r="J76" s="222" t="s">
        <v>308</v>
      </c>
    </row>
    <row r="77" spans="1:14" x14ac:dyDescent="0.25">
      <c r="A77" s="216" t="s">
        <v>5</v>
      </c>
      <c r="B77" s="217">
        <v>277520.75</v>
      </c>
      <c r="C77" s="217">
        <v>64512</v>
      </c>
      <c r="D77" s="218">
        <v>6.9737488097736833</v>
      </c>
      <c r="E77" s="219">
        <v>58440</v>
      </c>
      <c r="F77" s="220">
        <v>6072</v>
      </c>
      <c r="G77" s="219"/>
      <c r="H77" s="219"/>
      <c r="I77" s="224"/>
      <c r="J77" s="225"/>
    </row>
    <row r="78" spans="1:14" ht="15.75" thickBot="1" x14ac:dyDescent="0.3"/>
    <row r="79" spans="1:14" ht="42.75" x14ac:dyDescent="0.25">
      <c r="A79" s="206" t="s">
        <v>1</v>
      </c>
      <c r="B79" s="208" t="s">
        <v>51</v>
      </c>
      <c r="C79" s="209" t="s">
        <v>50</v>
      </c>
      <c r="D79" s="210" t="s">
        <v>52</v>
      </c>
      <c r="E79" s="211" t="s">
        <v>150</v>
      </c>
      <c r="F79" s="212" t="s">
        <v>53</v>
      </c>
      <c r="G79" s="213" t="s">
        <v>54</v>
      </c>
      <c r="H79" s="214" t="s">
        <v>55</v>
      </c>
      <c r="I79" s="207" t="s">
        <v>152</v>
      </c>
      <c r="J79" s="215" t="s">
        <v>69</v>
      </c>
      <c r="K79" s="230"/>
      <c r="L79" s="231"/>
      <c r="M79" s="232"/>
      <c r="N79" s="233"/>
    </row>
    <row r="80" spans="1:14" x14ac:dyDescent="0.25">
      <c r="A80" s="226" t="s">
        <v>27</v>
      </c>
      <c r="B80" s="217">
        <v>44292.916666666664</v>
      </c>
      <c r="C80" s="217">
        <v>0</v>
      </c>
      <c r="D80" s="218">
        <v>0</v>
      </c>
      <c r="E80" s="219">
        <v>21984</v>
      </c>
      <c r="F80" s="220">
        <v>-21984</v>
      </c>
      <c r="G80" s="219">
        <v>-14.889965476044893</v>
      </c>
      <c r="H80" s="219">
        <v>66276.916666666657</v>
      </c>
      <c r="I80" s="221">
        <v>20160</v>
      </c>
      <c r="J80" s="222" t="s">
        <v>308</v>
      </c>
      <c r="K80" s="102"/>
      <c r="L80" s="98"/>
      <c r="M80" s="98"/>
      <c r="N80" s="101"/>
    </row>
    <row r="81" spans="1:14" x14ac:dyDescent="0.25">
      <c r="A81" s="226" t="s">
        <v>29</v>
      </c>
      <c r="B81" s="217">
        <v>30606.25</v>
      </c>
      <c r="C81" s="217">
        <v>10752</v>
      </c>
      <c r="D81" s="218">
        <v>10.539023892178884</v>
      </c>
      <c r="E81" s="219">
        <v>14016</v>
      </c>
      <c r="F81" s="220">
        <v>-3264</v>
      </c>
      <c r="G81" s="219">
        <v>-3.1993465386971613</v>
      </c>
      <c r="H81" s="219">
        <v>33870.25</v>
      </c>
      <c r="I81" s="228">
        <v>15000</v>
      </c>
      <c r="J81" s="222" t="s">
        <v>308</v>
      </c>
      <c r="K81" s="102"/>
      <c r="L81" s="98"/>
      <c r="M81" s="204"/>
      <c r="N81" s="205"/>
    </row>
    <row r="82" spans="1:14" x14ac:dyDescent="0.25">
      <c r="A82" s="226" t="s">
        <v>30</v>
      </c>
      <c r="B82" s="217">
        <v>217913.5</v>
      </c>
      <c r="C82" s="217">
        <v>0</v>
      </c>
      <c r="D82" s="218">
        <v>0</v>
      </c>
      <c r="E82" s="219">
        <v>61536</v>
      </c>
      <c r="F82" s="220">
        <v>-61536</v>
      </c>
      <c r="G82" s="219">
        <v>-8.4716183256200281</v>
      </c>
      <c r="H82" s="219">
        <v>279449.5</v>
      </c>
      <c r="I82" s="221">
        <v>40248</v>
      </c>
      <c r="J82" s="222" t="s">
        <v>308</v>
      </c>
      <c r="K82" s="102"/>
      <c r="L82" s="98"/>
      <c r="M82" s="98"/>
      <c r="N82" s="101"/>
    </row>
    <row r="83" spans="1:14" x14ac:dyDescent="0.25">
      <c r="A83" s="226" t="s">
        <v>31</v>
      </c>
      <c r="B83" s="217">
        <v>10370.25</v>
      </c>
      <c r="C83" s="217">
        <v>0</v>
      </c>
      <c r="D83" s="227">
        <v>0</v>
      </c>
      <c r="E83" s="228">
        <v>3816</v>
      </c>
      <c r="F83" s="228">
        <v>-3816</v>
      </c>
      <c r="G83" s="228">
        <v>-11.039270991538295</v>
      </c>
      <c r="H83" s="228">
        <v>14186.25</v>
      </c>
      <c r="I83" s="228">
        <v>1210</v>
      </c>
      <c r="J83" s="222" t="s">
        <v>308</v>
      </c>
      <c r="K83" s="102"/>
      <c r="L83" s="98"/>
      <c r="M83" s="98"/>
      <c r="N83" s="101"/>
    </row>
    <row r="84" spans="1:14" x14ac:dyDescent="0.25">
      <c r="A84" s="226" t="s">
        <v>32</v>
      </c>
      <c r="B84" s="217">
        <v>8468.25</v>
      </c>
      <c r="C84" s="217">
        <v>0</v>
      </c>
      <c r="D84" s="227">
        <v>0</v>
      </c>
      <c r="E84" s="228">
        <v>2928</v>
      </c>
      <c r="F84" s="228">
        <v>-2928</v>
      </c>
      <c r="G84" s="228">
        <v>-10.372863342485166</v>
      </c>
      <c r="H84" s="228">
        <v>11396.25</v>
      </c>
      <c r="I84" s="229">
        <v>13824</v>
      </c>
      <c r="J84" s="222" t="s">
        <v>308</v>
      </c>
      <c r="K84" s="102"/>
      <c r="L84" s="98"/>
      <c r="M84" s="98"/>
      <c r="N84" s="101"/>
    </row>
    <row r="85" spans="1:14" x14ac:dyDescent="0.25">
      <c r="A85" s="226" t="s">
        <v>33</v>
      </c>
      <c r="B85" s="217">
        <v>10000</v>
      </c>
      <c r="C85" s="217">
        <v>0</v>
      </c>
      <c r="D85" s="227">
        <v>0</v>
      </c>
      <c r="E85" s="228">
        <v>2112</v>
      </c>
      <c r="F85" s="228">
        <v>-2112</v>
      </c>
      <c r="G85" s="228">
        <v>-6.3360000000000003</v>
      </c>
      <c r="H85" s="228">
        <v>12112</v>
      </c>
      <c r="I85" s="228">
        <v>1152</v>
      </c>
      <c r="J85" s="222" t="s">
        <v>308</v>
      </c>
      <c r="K85" s="102"/>
      <c r="L85" s="98"/>
      <c r="M85" s="98"/>
      <c r="N85" s="101"/>
    </row>
    <row r="86" spans="1:14" x14ac:dyDescent="0.25">
      <c r="A86" s="226" t="s">
        <v>34</v>
      </c>
      <c r="B86" s="217">
        <v>10000</v>
      </c>
      <c r="C86" s="217">
        <v>0</v>
      </c>
      <c r="D86" s="227">
        <v>0</v>
      </c>
      <c r="E86" s="228">
        <v>1344</v>
      </c>
      <c r="F86" s="228">
        <v>-1344</v>
      </c>
      <c r="G86" s="228">
        <v>-4.032</v>
      </c>
      <c r="H86" s="228">
        <v>11344</v>
      </c>
      <c r="I86" s="228">
        <v>16704</v>
      </c>
      <c r="J86" s="222" t="s">
        <v>308</v>
      </c>
      <c r="K86" s="102"/>
      <c r="L86" s="98"/>
      <c r="M86" s="98"/>
      <c r="N86" s="101"/>
    </row>
    <row r="87" spans="1:14" x14ac:dyDescent="0.25">
      <c r="A87" s="226" t="s">
        <v>35</v>
      </c>
      <c r="B87" s="217">
        <v>10000</v>
      </c>
      <c r="C87" s="217">
        <v>0</v>
      </c>
      <c r="D87" s="227">
        <v>0</v>
      </c>
      <c r="E87" s="228">
        <v>1872</v>
      </c>
      <c r="F87" s="228">
        <v>-1872</v>
      </c>
      <c r="G87" s="228">
        <v>-5.6160000000000005</v>
      </c>
      <c r="H87" s="228">
        <v>11872</v>
      </c>
      <c r="I87" s="228">
        <v>2117</v>
      </c>
      <c r="J87" s="222" t="s">
        <v>308</v>
      </c>
      <c r="K87" s="102"/>
      <c r="L87" s="98"/>
      <c r="M87" s="98"/>
      <c r="N87" s="101"/>
    </row>
  </sheetData>
  <conditionalFormatting sqref="H67:H70">
    <cfRule type="cellIs" dxfId="31" priority="3" operator="lessThan">
      <formula>0.00000000001</formula>
    </cfRule>
  </conditionalFormatting>
  <conditionalFormatting sqref="H74:H77">
    <cfRule type="cellIs" dxfId="30" priority="2" operator="lessThan">
      <formula>0.00000000001</formula>
    </cfRule>
  </conditionalFormatting>
  <conditionalFormatting sqref="H80:H87">
    <cfRule type="cellIs" dxfId="29" priority="1" operator="lessThan">
      <formula>0.00000000001</formula>
    </cfRule>
  </conditionalFormatting>
  <pageMargins left="0.28000000000000003" right="0.28000000000000003" top="0.78740157499999996" bottom="0.78740157499999996" header="0.31496062000000002" footer="0.31496062000000002"/>
  <pageSetup paperSize="9" orientation="landscape" r:id="rId1"/>
  <legacy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"/>
  <sheetViews>
    <sheetView showGridLines="0" workbookViewId="0">
      <selection activeCell="N13" sqref="N13"/>
    </sheetView>
  </sheetViews>
  <sheetFormatPr defaultRowHeight="15" x14ac:dyDescent="0.25"/>
  <cols>
    <col min="1" max="16384" width="9.140625" style="249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3"/>
  <sheetViews>
    <sheetView topLeftCell="A50" workbookViewId="0">
      <selection activeCell="B6" sqref="B6"/>
    </sheetView>
  </sheetViews>
  <sheetFormatPr defaultRowHeight="15" x14ac:dyDescent="0.25"/>
  <sheetData>
    <row r="2" spans="1:2" ht="15.75" x14ac:dyDescent="0.25">
      <c r="A2" s="304" t="s">
        <v>0</v>
      </c>
      <c r="B2" s="304" t="s">
        <v>389</v>
      </c>
    </row>
    <row r="3" spans="1:2" x14ac:dyDescent="0.25">
      <c r="A3" s="292">
        <v>5</v>
      </c>
      <c r="B3" s="292">
        <v>5343</v>
      </c>
    </row>
    <row r="4" spans="1:2" x14ac:dyDescent="0.25">
      <c r="A4" s="292">
        <v>8</v>
      </c>
      <c r="B4" s="292">
        <v>5344</v>
      </c>
    </row>
    <row r="5" spans="1:2" x14ac:dyDescent="0.25">
      <c r="A5" s="292">
        <v>12</v>
      </c>
      <c r="B5" s="292">
        <v>5345</v>
      </c>
    </row>
    <row r="6" spans="1:2" x14ac:dyDescent="0.25">
      <c r="A6" s="292">
        <v>16</v>
      </c>
      <c r="B6" s="292">
        <v>5346</v>
      </c>
    </row>
    <row r="7" spans="1:2" x14ac:dyDescent="0.25">
      <c r="A7" s="292">
        <v>20</v>
      </c>
      <c r="B7" s="292">
        <v>5285</v>
      </c>
    </row>
    <row r="8" spans="1:2" x14ac:dyDescent="0.25">
      <c r="A8" s="292">
        <v>23</v>
      </c>
      <c r="B8" s="292">
        <v>5288</v>
      </c>
    </row>
    <row r="9" spans="1:2" x14ac:dyDescent="0.25">
      <c r="A9" s="292">
        <v>26</v>
      </c>
      <c r="B9" s="292">
        <v>5291</v>
      </c>
    </row>
    <row r="10" spans="1:2" x14ac:dyDescent="0.25">
      <c r="A10" s="292">
        <v>29</v>
      </c>
      <c r="B10" s="292">
        <v>5294</v>
      </c>
    </row>
    <row r="11" spans="1:2" x14ac:dyDescent="0.25">
      <c r="A11" s="292">
        <v>6</v>
      </c>
      <c r="B11" s="292">
        <v>5274</v>
      </c>
    </row>
    <row r="12" spans="1:2" x14ac:dyDescent="0.25">
      <c r="A12" s="292">
        <v>9</v>
      </c>
      <c r="B12" s="292">
        <v>5277</v>
      </c>
    </row>
    <row r="13" spans="1:2" x14ac:dyDescent="0.25">
      <c r="A13" s="292">
        <v>13</v>
      </c>
      <c r="B13" s="292">
        <v>5280</v>
      </c>
    </row>
    <row r="14" spans="1:2" x14ac:dyDescent="0.25">
      <c r="A14" s="292">
        <v>17</v>
      </c>
      <c r="B14" s="292">
        <v>5283</v>
      </c>
    </row>
    <row r="15" spans="1:2" x14ac:dyDescent="0.25">
      <c r="A15" s="292">
        <v>21</v>
      </c>
      <c r="B15" s="292">
        <v>5286</v>
      </c>
    </row>
    <row r="16" spans="1:2" x14ac:dyDescent="0.25">
      <c r="A16" s="292">
        <v>24</v>
      </c>
      <c r="B16" s="292">
        <v>5289</v>
      </c>
    </row>
    <row r="17" spans="1:2" x14ac:dyDescent="0.25">
      <c r="A17" s="292">
        <v>27</v>
      </c>
      <c r="B17" s="292">
        <v>5292</v>
      </c>
    </row>
    <row r="18" spans="1:2" x14ac:dyDescent="0.25">
      <c r="A18" s="292">
        <v>30</v>
      </c>
      <c r="B18" s="292">
        <v>5295</v>
      </c>
    </row>
    <row r="19" spans="1:2" x14ac:dyDescent="0.25">
      <c r="A19" s="292">
        <v>7</v>
      </c>
      <c r="B19" s="292">
        <v>5275</v>
      </c>
    </row>
    <row r="20" spans="1:2" x14ac:dyDescent="0.25">
      <c r="A20" s="292">
        <v>10</v>
      </c>
      <c r="B20" s="292">
        <v>5278</v>
      </c>
    </row>
    <row r="21" spans="1:2" x14ac:dyDescent="0.25">
      <c r="A21" s="292">
        <v>14</v>
      </c>
      <c r="B21" s="292">
        <v>5281</v>
      </c>
    </row>
    <row r="22" spans="1:2" x14ac:dyDescent="0.25">
      <c r="A22" s="292">
        <v>18</v>
      </c>
      <c r="B22" s="292">
        <v>5284</v>
      </c>
    </row>
    <row r="23" spans="1:2" x14ac:dyDescent="0.25">
      <c r="A23" s="292">
        <v>22</v>
      </c>
      <c r="B23" s="292">
        <v>5287</v>
      </c>
    </row>
    <row r="24" spans="1:2" x14ac:dyDescent="0.25">
      <c r="A24" s="292">
        <v>25</v>
      </c>
      <c r="B24" s="292">
        <v>5290</v>
      </c>
    </row>
    <row r="25" spans="1:2" x14ac:dyDescent="0.25">
      <c r="A25" s="292">
        <v>28</v>
      </c>
      <c r="B25" s="292">
        <v>5293</v>
      </c>
    </row>
    <row r="26" spans="1:2" x14ac:dyDescent="0.25">
      <c r="A26" s="292">
        <v>31</v>
      </c>
      <c r="B26" s="292">
        <v>5296</v>
      </c>
    </row>
    <row r="27" spans="1:2" x14ac:dyDescent="0.25">
      <c r="A27" s="238">
        <v>11</v>
      </c>
      <c r="B27" s="292">
        <v>5640</v>
      </c>
    </row>
    <row r="28" spans="1:2" x14ac:dyDescent="0.25">
      <c r="A28" s="238">
        <v>15</v>
      </c>
      <c r="B28" s="292">
        <v>5641</v>
      </c>
    </row>
    <row r="29" spans="1:2" x14ac:dyDescent="0.25">
      <c r="A29" s="238">
        <v>19</v>
      </c>
      <c r="B29" s="292">
        <v>5642</v>
      </c>
    </row>
    <row r="30" spans="1:2" x14ac:dyDescent="0.25">
      <c r="A30" s="238">
        <v>2030</v>
      </c>
      <c r="B30" s="292">
        <v>5270</v>
      </c>
    </row>
    <row r="31" spans="1:2" x14ac:dyDescent="0.25">
      <c r="A31" s="238">
        <v>5186</v>
      </c>
      <c r="B31" s="292">
        <v>5297</v>
      </c>
    </row>
    <row r="32" spans="1:2" x14ac:dyDescent="0.25">
      <c r="A32" s="238">
        <v>5562</v>
      </c>
      <c r="B32" s="292">
        <v>5583</v>
      </c>
    </row>
    <row r="33" spans="1:2" x14ac:dyDescent="0.25">
      <c r="A33" s="238">
        <v>5549</v>
      </c>
      <c r="B33" s="292">
        <v>5635</v>
      </c>
    </row>
    <row r="34" spans="1:2" x14ac:dyDescent="0.25">
      <c r="A34" s="238">
        <v>5550</v>
      </c>
      <c r="B34" s="292">
        <v>5630</v>
      </c>
    </row>
    <row r="35" spans="1:2" x14ac:dyDescent="0.25">
      <c r="A35" s="238">
        <v>4</v>
      </c>
      <c r="B35" s="292">
        <v>5272</v>
      </c>
    </row>
    <row r="36" spans="1:2" x14ac:dyDescent="0.25">
      <c r="A36" s="238">
        <v>9010</v>
      </c>
      <c r="B36" s="292">
        <v>7010</v>
      </c>
    </row>
    <row r="37" spans="1:2" x14ac:dyDescent="0.25">
      <c r="A37" s="238">
        <v>9030</v>
      </c>
      <c r="B37" s="292">
        <v>7000</v>
      </c>
    </row>
    <row r="38" spans="1:2" x14ac:dyDescent="0.25">
      <c r="A38" s="238">
        <v>2035</v>
      </c>
      <c r="B38" s="292">
        <v>7030</v>
      </c>
    </row>
    <row r="39" spans="1:2" x14ac:dyDescent="0.25">
      <c r="A39" s="238">
        <v>5609</v>
      </c>
      <c r="B39" s="292">
        <v>7040</v>
      </c>
    </row>
    <row r="40" spans="1:2" x14ac:dyDescent="0.25">
      <c r="A40" s="238">
        <v>2032</v>
      </c>
      <c r="B40" s="292">
        <v>5347</v>
      </c>
    </row>
    <row r="41" spans="1:2" x14ac:dyDescent="0.25">
      <c r="A41" s="238">
        <v>5188</v>
      </c>
      <c r="B41" s="292">
        <v>5299</v>
      </c>
    </row>
    <row r="42" spans="1:2" x14ac:dyDescent="0.25">
      <c r="A42" s="238">
        <v>5564</v>
      </c>
      <c r="B42" s="292">
        <v>5585</v>
      </c>
    </row>
    <row r="43" spans="1:2" x14ac:dyDescent="0.25">
      <c r="A43" s="238">
        <v>5553</v>
      </c>
      <c r="B43" s="292">
        <v>5579</v>
      </c>
    </row>
    <row r="44" spans="1:2" x14ac:dyDescent="0.25">
      <c r="A44" s="238">
        <v>5554</v>
      </c>
      <c r="B44" s="292">
        <v>5582</v>
      </c>
    </row>
    <row r="45" spans="1:2" x14ac:dyDescent="0.25">
      <c r="A45" s="238">
        <v>2050</v>
      </c>
      <c r="B45" s="292">
        <v>5900</v>
      </c>
    </row>
    <row r="46" spans="1:2" x14ac:dyDescent="0.25">
      <c r="A46" s="238">
        <v>2059</v>
      </c>
      <c r="B46" s="292">
        <v>2903</v>
      </c>
    </row>
    <row r="47" spans="1:2" x14ac:dyDescent="0.25">
      <c r="A47" s="238">
        <v>2051</v>
      </c>
      <c r="B47" s="292">
        <v>5904</v>
      </c>
    </row>
    <row r="48" spans="1:2" x14ac:dyDescent="0.25">
      <c r="A48" s="238">
        <v>2055</v>
      </c>
      <c r="B48" s="292">
        <v>5902</v>
      </c>
    </row>
    <row r="49" spans="1:2" x14ac:dyDescent="0.25">
      <c r="A49" s="238">
        <v>2053</v>
      </c>
      <c r="B49" s="292">
        <v>5901</v>
      </c>
    </row>
    <row r="50" spans="1:2" x14ac:dyDescent="0.25">
      <c r="A50" s="238">
        <v>9020</v>
      </c>
      <c r="B50" s="292">
        <v>7020</v>
      </c>
    </row>
    <row r="51" spans="1:2" x14ac:dyDescent="0.25">
      <c r="A51" s="238">
        <v>2840</v>
      </c>
      <c r="B51" s="292">
        <v>5936</v>
      </c>
    </row>
    <row r="52" spans="1:2" x14ac:dyDescent="0.25">
      <c r="A52" s="238">
        <v>2825</v>
      </c>
      <c r="B52" s="292">
        <v>5320</v>
      </c>
    </row>
    <row r="53" spans="1:2" x14ac:dyDescent="0.25">
      <c r="A53" s="238">
        <v>2826</v>
      </c>
      <c r="B53" s="292">
        <v>5321</v>
      </c>
    </row>
    <row r="54" spans="1:2" x14ac:dyDescent="0.25">
      <c r="A54" s="238">
        <v>2827</v>
      </c>
      <c r="B54" s="292">
        <v>5941</v>
      </c>
    </row>
    <row r="55" spans="1:2" x14ac:dyDescent="0.25">
      <c r="A55" s="238">
        <v>5073</v>
      </c>
      <c r="B55" s="292">
        <v>5935</v>
      </c>
    </row>
    <row r="56" spans="1:2" x14ac:dyDescent="0.25">
      <c r="A56" s="238">
        <v>5072</v>
      </c>
      <c r="B56" s="292">
        <v>5322</v>
      </c>
    </row>
    <row r="57" spans="1:2" x14ac:dyDescent="0.25">
      <c r="A57" s="238">
        <v>5071</v>
      </c>
      <c r="B57" s="292">
        <v>5323</v>
      </c>
    </row>
    <row r="58" spans="1:2" x14ac:dyDescent="0.25">
      <c r="A58" s="238">
        <v>2828</v>
      </c>
      <c r="B58" s="292">
        <v>5940</v>
      </c>
    </row>
    <row r="59" spans="1:2" x14ac:dyDescent="0.25">
      <c r="A59" s="238">
        <v>2819</v>
      </c>
      <c r="B59" s="292">
        <v>5300</v>
      </c>
    </row>
    <row r="60" spans="1:2" x14ac:dyDescent="0.25">
      <c r="A60" s="238">
        <v>2467</v>
      </c>
      <c r="B60" s="292">
        <v>5337</v>
      </c>
    </row>
    <row r="61" spans="1:2" x14ac:dyDescent="0.25">
      <c r="A61" s="238">
        <v>2468</v>
      </c>
      <c r="B61" s="292">
        <v>5333</v>
      </c>
    </row>
    <row r="62" spans="1:2" x14ac:dyDescent="0.25">
      <c r="A62" s="238">
        <v>2473</v>
      </c>
      <c r="B62" s="292">
        <v>5184</v>
      </c>
    </row>
    <row r="63" spans="1:2" x14ac:dyDescent="0.25">
      <c r="A63" s="302">
        <v>2474</v>
      </c>
      <c r="B63" s="292">
        <v>5644</v>
      </c>
    </row>
    <row r="64" spans="1:2" x14ac:dyDescent="0.25">
      <c r="A64" s="238">
        <v>2470</v>
      </c>
      <c r="B64" s="292">
        <v>5334</v>
      </c>
    </row>
    <row r="65" spans="1:2" x14ac:dyDescent="0.25">
      <c r="A65" s="302">
        <v>2475</v>
      </c>
      <c r="B65" s="292">
        <v>5645</v>
      </c>
    </row>
    <row r="66" spans="1:2" x14ac:dyDescent="0.25">
      <c r="A66" s="238">
        <v>2472</v>
      </c>
      <c r="B66" s="292">
        <v>5338</v>
      </c>
    </row>
    <row r="67" spans="1:2" x14ac:dyDescent="0.25">
      <c r="A67" s="238">
        <v>2471</v>
      </c>
      <c r="B67" s="292">
        <v>5335</v>
      </c>
    </row>
    <row r="68" spans="1:2" x14ac:dyDescent="0.25">
      <c r="A68" s="238">
        <v>5543</v>
      </c>
      <c r="B68" s="292">
        <v>5643</v>
      </c>
    </row>
    <row r="69" spans="1:2" x14ac:dyDescent="0.25">
      <c r="A69" s="238">
        <v>5252</v>
      </c>
      <c r="B69" s="292">
        <v>5361</v>
      </c>
    </row>
    <row r="70" spans="1:2" x14ac:dyDescent="0.25">
      <c r="A70" s="238">
        <v>5253</v>
      </c>
      <c r="B70" s="292">
        <v>5362</v>
      </c>
    </row>
    <row r="71" spans="1:2" x14ac:dyDescent="0.25">
      <c r="A71" s="238">
        <v>5254</v>
      </c>
      <c r="B71" s="292">
        <v>5557</v>
      </c>
    </row>
    <row r="72" spans="1:2" x14ac:dyDescent="0.25">
      <c r="A72" s="238">
        <v>5255</v>
      </c>
      <c r="B72" s="292">
        <v>5363</v>
      </c>
    </row>
    <row r="73" spans="1:2" x14ac:dyDescent="0.25">
      <c r="A73" s="238">
        <v>5256</v>
      </c>
      <c r="B73" s="292">
        <v>5364</v>
      </c>
    </row>
    <row r="74" spans="1:2" x14ac:dyDescent="0.25">
      <c r="A74" s="238">
        <v>2817</v>
      </c>
      <c r="B74" s="292">
        <v>5301</v>
      </c>
    </row>
    <row r="75" spans="1:2" x14ac:dyDescent="0.25">
      <c r="A75" s="238">
        <v>5257</v>
      </c>
      <c r="B75" s="292">
        <v>5319</v>
      </c>
    </row>
    <row r="76" spans="1:2" x14ac:dyDescent="0.25">
      <c r="A76" s="238">
        <v>112</v>
      </c>
      <c r="B76" s="292">
        <v>5950</v>
      </c>
    </row>
    <row r="77" spans="1:2" x14ac:dyDescent="0.25">
      <c r="A77" s="238">
        <v>2540</v>
      </c>
      <c r="B77" s="292">
        <v>5356</v>
      </c>
    </row>
    <row r="78" spans="1:2" x14ac:dyDescent="0.25">
      <c r="A78" s="238">
        <v>2850</v>
      </c>
      <c r="B78" s="292">
        <v>5930</v>
      </c>
    </row>
    <row r="79" spans="1:2" x14ac:dyDescent="0.25">
      <c r="A79" s="238">
        <v>2855</v>
      </c>
      <c r="B79" s="292">
        <v>5931</v>
      </c>
    </row>
    <row r="80" spans="1:2" x14ac:dyDescent="0.25">
      <c r="A80" s="238">
        <v>47</v>
      </c>
      <c r="B80" s="292">
        <v>5926</v>
      </c>
    </row>
    <row r="81" spans="1:2" x14ac:dyDescent="0.25">
      <c r="A81" s="238">
        <v>2436</v>
      </c>
      <c r="B81" s="292">
        <v>5925</v>
      </c>
    </row>
    <row r="82" spans="1:2" x14ac:dyDescent="0.25">
      <c r="A82" s="238">
        <v>44</v>
      </c>
      <c r="B82" s="292">
        <v>5921</v>
      </c>
    </row>
    <row r="83" spans="1:2" x14ac:dyDescent="0.25">
      <c r="A83" s="238">
        <v>2421</v>
      </c>
      <c r="B83" s="292">
        <v>5920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planejamento</vt:lpstr>
      <vt:lpstr>TAB CXUNID</vt:lpstr>
      <vt:lpstr>atacadão</vt:lpstr>
      <vt:lpstr>sleeve antigo</vt:lpstr>
      <vt:lpstr>RELATORIO 2</vt:lpstr>
      <vt:lpstr>Plan2</vt:lpstr>
      <vt:lpstr>DADOS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Montilares</dc:creator>
  <cp:lastModifiedBy>Edvam PCP</cp:lastModifiedBy>
  <cp:lastPrinted>2026-05-06T13:33:13Z</cp:lastPrinted>
  <dcterms:created xsi:type="dcterms:W3CDTF">2023-09-20T16:01:20Z</dcterms:created>
  <dcterms:modified xsi:type="dcterms:W3CDTF">2026-05-14T14:03:56Z</dcterms:modified>
</cp:coreProperties>
</file>