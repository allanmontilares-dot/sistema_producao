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cp\Desktop\sistema_producao\"/>
    </mc:Choice>
  </mc:AlternateContent>
  <bookViews>
    <workbookView xWindow="0" yWindow="0" windowWidth="16170" windowHeight="7455"/>
  </bookViews>
  <sheets>
    <sheet name="Plan1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3" i="1"/>
  <c r="B4" i="1"/>
  <c r="B5" i="1"/>
  <c r="B6" i="1"/>
  <c r="B7" i="1"/>
  <c r="B8" i="1"/>
  <c r="B9" i="1"/>
  <c r="B10" i="1"/>
  <c r="B2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G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<sst xmlns="http://schemas.openxmlformats.org/spreadsheetml/2006/main" count="699" uniqueCount="223">
  <si>
    <t>Descrição</t>
  </si>
  <si>
    <t>Concat. Cod. + cod P.A</t>
  </si>
  <si>
    <t>CONTAGEM</t>
  </si>
  <si>
    <t>ORDEM</t>
  </si>
  <si>
    <t>Cod.</t>
  </si>
  <si>
    <t>Cod. P.A</t>
  </si>
  <si>
    <t>MEDIA DE VENDA</t>
  </si>
  <si>
    <t>DIAS DE ATENDIMENTO</t>
  </si>
  <si>
    <t>TIPO</t>
  </si>
  <si>
    <t>TIPO 2</t>
  </si>
  <si>
    <t>GRUPO</t>
  </si>
  <si>
    <t>PRODUTO</t>
  </si>
  <si>
    <t/>
  </si>
  <si>
    <t>BISNAGA CREME DE MAOS 100G</t>
  </si>
  <si>
    <t>FRASCO/POTE</t>
  </si>
  <si>
    <t>CREME</t>
  </si>
  <si>
    <t>MÃO</t>
  </si>
  <si>
    <t xml:space="preserve">GALAO LEITOSO 5 LITROS </t>
  </si>
  <si>
    <t>GALÃO</t>
  </si>
  <si>
    <t>POTE BRANCO 90G VASELINA SOLIDA</t>
  </si>
  <si>
    <t>OFICINAIS</t>
  </si>
  <si>
    <t>CAIXA 04 (DOURADINHA)</t>
  </si>
  <si>
    <t>CAIXA</t>
  </si>
  <si>
    <t>KIT</t>
  </si>
  <si>
    <t>DOURADINHA</t>
  </si>
  <si>
    <t>ROTULO OLEO DE AMENDOAS 90ML</t>
  </si>
  <si>
    <t>SLEEVE/ROTULO</t>
  </si>
  <si>
    <t>ÓLEO</t>
  </si>
  <si>
    <t>AMENDOAS</t>
  </si>
  <si>
    <t>ROTULO LOCAO POS BARBA CLASSICA - 120ML (VERDE)</t>
  </si>
  <si>
    <t>LOÇÃO</t>
  </si>
  <si>
    <t>CLASSICA</t>
  </si>
  <si>
    <t>CAIXA 06 X 120ML (AGUA MICELAR)</t>
  </si>
  <si>
    <t>AGUA MICELAR</t>
  </si>
  <si>
    <t>ROTULO OLEO SILICONADO 90ML</t>
  </si>
  <si>
    <t>SILICONADO</t>
  </si>
  <si>
    <t>ROTULO VASELINA SOLIDA 90GR - LATERAL</t>
  </si>
  <si>
    <t>VASELINA</t>
  </si>
  <si>
    <t>ROTULO VASELINA SOLIDA 90GR - TAMPA</t>
  </si>
  <si>
    <t>ROTULO OLEO DE COCO 90ML</t>
  </si>
  <si>
    <t>COCO</t>
  </si>
  <si>
    <t>FRASCO CILINDRICO CRISTAL 100ML 24/410 OLEOS</t>
  </si>
  <si>
    <t>CAIXA 06 X 500ML ( SABONETE, ADSTRINGENTE E LOCOES DE 500ML )</t>
  </si>
  <si>
    <t>ROTULO LOCAO POS BARBA CLASSICA - 500ML (VERDE)</t>
  </si>
  <si>
    <t>SLEEVE 75ML - TIRA FACIL UVA</t>
  </si>
  <si>
    <t>TIRA FACIL</t>
  </si>
  <si>
    <t>UVA</t>
  </si>
  <si>
    <t>TAMPA TIRA FACIL AZUL 1257/15 (PANVEL E 50 ANOS) 1257/15</t>
  </si>
  <si>
    <t>TAMPA</t>
  </si>
  <si>
    <t>TAMPA TIRA FACIL VERMELHA (TRADICIONAL, PATCHOULI) 35207/16</t>
  </si>
  <si>
    <t>BISNAGA CREME PES 100G</t>
  </si>
  <si>
    <t>PÉS</t>
  </si>
  <si>
    <t>ROTULO OLEO DE ROSA MOSQUETA 90ML</t>
  </si>
  <si>
    <t>ROSA MOSQUETA</t>
  </si>
  <si>
    <t>ROTULO SABONETE LIQUIDO HERBAL 500ML</t>
  </si>
  <si>
    <t>HERBAL</t>
  </si>
  <si>
    <t>ROTULO SABONETE LIQUIDO FLORAL 500ML</t>
  </si>
  <si>
    <t>FLORAL</t>
  </si>
  <si>
    <t>CAIXA 06 X 900ML (OX 900ML)</t>
  </si>
  <si>
    <t>OX/REMOVEDOR</t>
  </si>
  <si>
    <t xml:space="preserve">ESPUMA D32 CINZA DIAM. EXT 52X40 MM ALT. P/FRASCO 108S </t>
  </si>
  <si>
    <t>ESPUMA</t>
  </si>
  <si>
    <t>CAIXA 12 X 100G (BISNAGAS 100G)</t>
  </si>
  <si>
    <t>ROTULO LOCAO POS BARBA JOVIAL - 120ML (AZUL)</t>
  </si>
  <si>
    <t>JOVIAL</t>
  </si>
  <si>
    <t>ROTULO SABONETE LIQUIDO FRUTAL 500ML</t>
  </si>
  <si>
    <t>FRUTAL</t>
  </si>
  <si>
    <t>FRASCO CILINDRICO CRISTAL 500ML 28/410 LOCOES E SABONETE</t>
  </si>
  <si>
    <t>SLEEVE 90ML - REMOVEDOR PANVEL</t>
  </si>
  <si>
    <t>PENVEL</t>
  </si>
  <si>
    <t>POTE 250 GR BRANCO CREME PES E MAOS</t>
  </si>
  <si>
    <t>CAIXA 12 X 120ML (LOCOES E ADSTRINGENTE)</t>
  </si>
  <si>
    <t xml:space="preserve">SLEEVE 900ML - OXIGENADA BRANCA 30 VOLUME </t>
  </si>
  <si>
    <t>30 VOL</t>
  </si>
  <si>
    <t>ROTULO CREME PARA OS PES 240G</t>
  </si>
  <si>
    <t>ROTULO SABONETE LIQUIDO LAVANDA 500ML</t>
  </si>
  <si>
    <t>LAVANDA</t>
  </si>
  <si>
    <t>CAIXA 24 X 90 CORTE E VINCO</t>
  </si>
  <si>
    <t>ROTULO OX BRANCA 20 VOL 4000ML</t>
  </si>
  <si>
    <t>20 VOL</t>
  </si>
  <si>
    <t>ROTULO OX BRANCA 30 VOL 4000ML</t>
  </si>
  <si>
    <t>SLEEVE 90ML-OLEO DE COCO</t>
  </si>
  <si>
    <t>ROTULO OLEO DE GIRASSOL 90ML</t>
  </si>
  <si>
    <t>GIRASSOL</t>
  </si>
  <si>
    <t>ROTULO OX BRANCA 40 VOL 4000ML</t>
  </si>
  <si>
    <t>40 VOL</t>
  </si>
  <si>
    <t>ROTULO GLICERINA 90ML</t>
  </si>
  <si>
    <t>GLICERINA</t>
  </si>
  <si>
    <t>ROTULO LOCAO ADSTRINGENTE 120 ML</t>
  </si>
  <si>
    <t>ADSTR.</t>
  </si>
  <si>
    <t>CAIXA 24 X 90 CORTE E VINCO (OLEO DE BANANA)</t>
  </si>
  <si>
    <t>ÓL BANANA</t>
  </si>
  <si>
    <t>ROTULO LOCAO POS BARBA SENSUAL - 120ML (AMARELA)</t>
  </si>
  <si>
    <t>SENSUAL</t>
  </si>
  <si>
    <t xml:space="preserve">SLEEVE 900ML - OXIGENADA BRANCA 40 VOLUME </t>
  </si>
  <si>
    <t>CAIXA 12 X 240G (GEL COLA E CREMES DE 240G)</t>
  </si>
  <si>
    <t>POTE TURIM 55 GR (DESODORANTE)</t>
  </si>
  <si>
    <t>ROTULO LOCAO POS BARBA JOVIAL - 500ML (AZUL)</t>
  </si>
  <si>
    <t>TAMPA BRANCA VALVULADA GALAO 5L</t>
  </si>
  <si>
    <t>SLEEVE 450ML - REMOVEDOR TRADICIONAL</t>
  </si>
  <si>
    <t>TRAD.</t>
  </si>
  <si>
    <t>CAIXA 24 X 90 CORTE E VINCO (DIHELLEN)</t>
  </si>
  <si>
    <t>DIHELLEN</t>
  </si>
  <si>
    <t xml:space="preserve">SLEEVE 90ML - REMOVEDOR 50 ANOS </t>
  </si>
  <si>
    <t>50 ANOS</t>
  </si>
  <si>
    <t xml:space="preserve">TAMPA TIRA FACIL ROSA 66584/L6 (HIBISCO E FRUTAS VERM.) </t>
  </si>
  <si>
    <t>SLEEVE 90ML - REMOVEDOR FRUTAS VERMELHAS</t>
  </si>
  <si>
    <t>FRUTAS</t>
  </si>
  <si>
    <t>SLEEVE 450ML - REMOVEDOR UVA</t>
  </si>
  <si>
    <t>ROTULO CREME PARA AS MAOS 240G</t>
  </si>
  <si>
    <t>ROTULO LOCAO POS BARBA SENSUAL - 500ML (AMARELA)</t>
  </si>
  <si>
    <t>SLEEVE 450ML -  OXIGENADA BRANCA 20 VOLUME</t>
  </si>
  <si>
    <t>ROTULO OLEO DE JABORANDI 90ML</t>
  </si>
  <si>
    <t>JABORANDI</t>
  </si>
  <si>
    <t>SLEEVE 90ML - OXIGENADA BRANCA 20 VOLUME</t>
  </si>
  <si>
    <t>ROTULO AGUA MICELAR 120ML</t>
  </si>
  <si>
    <t>MICELAR</t>
  </si>
  <si>
    <t>SLEEVE 450ML -  OXIGENADA BRANCA 30 VOLUME</t>
  </si>
  <si>
    <t xml:space="preserve">SLEEVE 450ML - REMOVEDOR ALOE VERA </t>
  </si>
  <si>
    <t>ALOE</t>
  </si>
  <si>
    <t>ROTULO LOCAO ADSTRINGENTE 500 ML</t>
  </si>
  <si>
    <t>TAMPA TURIM 55G ROSA 295919 (DESODORANTE)</t>
  </si>
  <si>
    <t>TAMPA TURIM 55G VERDE (DESODORANTE)</t>
  </si>
  <si>
    <t>SLEEVE LOCAO ADSTRINGENTE 120 ML</t>
  </si>
  <si>
    <t>CAIXA 24 X 90 CORTE E VINCO (DAILUS)</t>
  </si>
  <si>
    <t>DAILUS</t>
  </si>
  <si>
    <t xml:space="preserve">SLEEVE 450ML - REMOVEDOR FRUTAS VERMELHAS </t>
  </si>
  <si>
    <t>SLEEVE 90ML - OXIGENADA BRANCA 10 VOLUME</t>
  </si>
  <si>
    <t>10 VOL</t>
  </si>
  <si>
    <t>CAIXA 12 X 450 CORTE E VINCO</t>
  </si>
  <si>
    <t>TAMPA TIRA FACIL ROXO 50938/L5 (UVA E LAVANDA)</t>
  </si>
  <si>
    <t>SLEEVE 900ML - OXIGENADA BRANCA 10 VOLUME</t>
  </si>
  <si>
    <t>CAIXA 24 X 90 CORTE E VINCO (TODO BOM)</t>
  </si>
  <si>
    <t>TODO BOM</t>
  </si>
  <si>
    <t>ROTULO OLEO DE RICINO 90ML</t>
  </si>
  <si>
    <t>RICINO</t>
  </si>
  <si>
    <t>SLEEVE 450ML -  OXIGENADA BRANCA 40 VOLUME</t>
  </si>
  <si>
    <t>SLEEVE 90ML - REMOVEDOR UVA</t>
  </si>
  <si>
    <t xml:space="preserve">SLEEVE 900ML - OXIGENADA BRANCA 20 VOLUME </t>
  </si>
  <si>
    <t>CAIXA 12 X 70G (VASELINA SOLIDA)</t>
  </si>
  <si>
    <t>CAIXA 12 X 90ML (OLEOS)</t>
  </si>
  <si>
    <t>TAMPA TIRA FACIL VERDE 1338/19 (ALOE VERA E ALFAZEMA)</t>
  </si>
  <si>
    <t xml:space="preserve">SLEEVE 450ML - REMOVEDOR 50 ANOS </t>
  </si>
  <si>
    <t>POTE PP 108-S 75ML (TIRA FACIL)</t>
  </si>
  <si>
    <t>CAIXA 12X50G (DESODORANTE)</t>
  </si>
  <si>
    <t>DESOD.</t>
  </si>
  <si>
    <t>CAIXA 24 X 75ML (TIRA FACIL PANVEL)</t>
  </si>
  <si>
    <t>PANVEL</t>
  </si>
  <si>
    <t>ROTULO OLEO SEMENTE DE UVA 90ML</t>
  </si>
  <si>
    <t>ROTULO SABONETE LIQUIDO NEUTRO 500ML</t>
  </si>
  <si>
    <t>NEUTRO</t>
  </si>
  <si>
    <t>CAIXA 24 X 75ML  (TIRA FACIL)</t>
  </si>
  <si>
    <t>PAZINHA PLASTICA ( KIT DOURADINHA )</t>
  </si>
  <si>
    <t>SLEEVE 90ML - REMOVEDOR ALOE VERA</t>
  </si>
  <si>
    <t>ROTULO OLEO DE BABOSA 90ML</t>
  </si>
  <si>
    <t>BABOSA</t>
  </si>
  <si>
    <t>SLEEVE 90ML - REMOVEDOR TRADICIONAL</t>
  </si>
  <si>
    <t xml:space="preserve">BANDEJA( M-1) RETANGULAR BRANCA  (KIT DOURADINHA) </t>
  </si>
  <si>
    <t>ROTULO VASELINA LIQUIDA 90ML</t>
  </si>
  <si>
    <t>SLEEVE 90ML - OXIGENADA BRANCA 40 VOLUME</t>
  </si>
  <si>
    <t>SLEEVE 75ML - TIRA FACIL PANVEL</t>
  </si>
  <si>
    <t>FRASCO CILINDRICO CRISTAL 120ML 24/410 LOCOES</t>
  </si>
  <si>
    <t xml:space="preserve">SLEEVE 90ML - OLEO DE BANANA </t>
  </si>
  <si>
    <t>SLEEVE 90ML - OXIGENADA BRANCA 30 VOLUME</t>
  </si>
  <si>
    <t xml:space="preserve">LUVA PLASTICA ( KIT DOURADINHA ) </t>
  </si>
  <si>
    <t>SLEEVE 75ML - TIRA FACIL FRUTAS VERMELHAS</t>
  </si>
  <si>
    <t>SLEEVE 75ML - TIRA FACIL 50 ANOS</t>
  </si>
  <si>
    <t>SLEEVE 75ML - TIRA FACIL TRADICIONAL</t>
  </si>
  <si>
    <t>SLEEVE 450ML -  OXIGENADA BRANCA 10 VOLUME</t>
  </si>
  <si>
    <t>SLEEVE 75ML - TIRA FACIL ALOE VERA</t>
  </si>
  <si>
    <t>CAIXA 24 X 90 CORTE E VINCO (PANVEL)</t>
  </si>
  <si>
    <t>ROTULO DESODORANTE EM CREME FEMININO 50G</t>
  </si>
  <si>
    <t>DESOD. F</t>
  </si>
  <si>
    <t xml:space="preserve">SLEEVE 90ML - REMOVEDOR DAILUS </t>
  </si>
  <si>
    <t>SLEEVE 90ML - REMOVEDOR DIHELLEN</t>
  </si>
  <si>
    <t>ROTULO DESODORANTE EM CREME MASCULINO 50G</t>
  </si>
  <si>
    <t>DESOD. M</t>
  </si>
  <si>
    <t>CAIXA AMOLECEDOR E AMACIANTE</t>
  </si>
  <si>
    <t>CAIXA E-COMMERCE 230 X 230 X 90</t>
  </si>
  <si>
    <t>E-COMERCE</t>
  </si>
  <si>
    <t>CAIXA N3 (GALAO)</t>
  </si>
  <si>
    <t>DISPLAY KIT DOURADINHA</t>
  </si>
  <si>
    <t>TAMPA FLIP TOP PRIME 24/410 AMARELA (LOCAO SENSUAL 120ML)</t>
  </si>
  <si>
    <t>TAMPA FLIP TOP PRIME 24/410 AZUL (LOCAO SPORT 120ML)</t>
  </si>
  <si>
    <t>TAMPA FLIP TOP PRIME 24/410 BRANCA (OLEOS)</t>
  </si>
  <si>
    <t>TAMPA FLIP TOP PRIME 24/410 VERDE (LOCAO CLASSICA 120ML)</t>
  </si>
  <si>
    <t>TAMPA FLIP TOP PRIME 24/410 VERMELHA (AGUA MICELAR)</t>
  </si>
  <si>
    <t>FORA</t>
  </si>
  <si>
    <t>TAMPA FLIP TOP PRIME 28/410 AMARELA (LOCAO SENSUAL 500ML)</t>
  </si>
  <si>
    <t>TAMPA FLIP TOP PRIME 28/410 AZUL (LOCAO SPORT 500ML)</t>
  </si>
  <si>
    <t>TAMPA FLIP TOP PRIME 28/410 BRANCA (ADSTRINGENTE500ML)</t>
  </si>
  <si>
    <t>TAMPA FLIP TOP PRIME 28/410 VERDE (LOCAO CLASSICA 500ML)</t>
  </si>
  <si>
    <t>TAMPA POTE 90G VASELINA SOLIDA</t>
  </si>
  <si>
    <t>TAMPA ROSA P/ BISNAGA CREME PES 100GR</t>
  </si>
  <si>
    <t>TAMPA ROXA P/ BISNAGA CREME MAOS 100GR</t>
  </si>
  <si>
    <t>TAMPA VERMELHA ROSCA 88MM (POTE DE CREME PES 250G)</t>
  </si>
  <si>
    <t>TAMPA VIOLETA ROSCA 88MM (POTE DE CREME MAOS 250G)</t>
  </si>
  <si>
    <t>VALVULA PUMP NATURAL R28/410 PESCANTE (SABONETES)</t>
  </si>
  <si>
    <t>VALVULA</t>
  </si>
  <si>
    <t>SLEEVE 90ML - REMOVEDOR TODO BOM</t>
  </si>
  <si>
    <t>SLEEVE AGUA MICELAR 120ML</t>
  </si>
  <si>
    <t>SLEEVE GLICERINA 90ML</t>
  </si>
  <si>
    <t>SLEEVE LOCAO ADSTRINGENTE 500 ML</t>
  </si>
  <si>
    <t>SLEEVE LOCAO POS BARBA CLASSICA - 120ML (VERDE)</t>
  </si>
  <si>
    <t>SLEEVE LOCAO POS BARBA CLASSICA - 500ML (VERDE)</t>
  </si>
  <si>
    <t>SLEEVE LOCAO POS BARBA JOVIAL - 120ML (AZUL)</t>
  </si>
  <si>
    <t>SLEEVE LOCAO POS BARBA JOVIAL - 500ML (AZUL)</t>
  </si>
  <si>
    <t>SLEEVE LOCAO POS BARBA SENSUAL - 120ML (AMARELA)</t>
  </si>
  <si>
    <t>SLEEVE LOCAO POS BARBA SENSUAL - 500ML (AMARELA)</t>
  </si>
  <si>
    <t>SLEEVE OLEO DE AMENDOAS 90ML</t>
  </si>
  <si>
    <t>SLEEVE OLEO DE BABOSA 90ML</t>
  </si>
  <si>
    <t>SLEEVE OLEO DE GIRASSOL 90ML</t>
  </si>
  <si>
    <t>SLEEVE OLEO DE JABORANDI 90ML</t>
  </si>
  <si>
    <t>SLEEVE OLEO DE RICINO 90ML</t>
  </si>
  <si>
    <t>SLEEVE OLEO DE ROSA MOSQUETA 90ML</t>
  </si>
  <si>
    <t>SLEEVE OLEO SEMENTE DE UVA 90ML</t>
  </si>
  <si>
    <t>SLEEVE OLEO SILICONADO 90ML</t>
  </si>
  <si>
    <t>SLEEVE SABONETE LIQUIDO FLORAL 500ML</t>
  </si>
  <si>
    <t>SLEEVE SABONETE LIQUIDO FRUTAL 500ML</t>
  </si>
  <si>
    <t>SLEEVE SABONETE LIQUIDO HERBAL 500ML</t>
  </si>
  <si>
    <t>SLEEVE SABONETE LIQUIDO LAVANDA 500ML</t>
  </si>
  <si>
    <t>SLEEVE SABONETE LIQUIDO NEUTRO 500ML</t>
  </si>
  <si>
    <t>SLEEVE VASELINA LIQUIDA 90ML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</si>
</sst>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rgb="FF000000"/>
      <name val="Microsoft Sans Serif"/>
      <family val="2"/>
    </font>
    <font>
      <sz val="10"/>
      <color rgb="FF000000"/>
      <name val="Microsoft Sans Serif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1">
    <xf numFmtId="0" fontId="0" fillId="0" borderId="0" xfId="0"/>
    <xf numFmtId="0" fontId="2" fillId="3" borderId="1" xfId="0" applyFont="1" applyFill="1" applyBorder="1" applyAlignment="1">
      <alignment horizontal="left" vertical="top"/>
    </xf>
    <xf numFmtId="0" fontId="2" fillId="3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horizontal="left" vertical="top"/>
    </xf>
    <xf numFmtId="0" fontId="2" fillId="3" borderId="3" xfId="0" applyFont="1" applyFill="1" applyBorder="1" applyAlignment="1">
      <alignment horizontal="left" vertical="top"/>
    </xf>
    <xf numFmtId="164" fontId="2" fillId="3" borderId="3" xfId="1" applyNumberFormat="1" applyFont="1" applyFill="1" applyBorder="1" applyAlignment="1">
      <alignment horizontal="left" vertical="top" wrapText="1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vertical="center"/>
    </xf>
    <xf numFmtId="164" fontId="3" fillId="2" borderId="5" xfId="1" applyNumberFormat="1" applyFont="1" applyFill="1" applyBorder="1" applyAlignment="1">
      <alignment vertical="center"/>
    </xf>
    <xf numFmtId="164" fontId="3" fillId="4" borderId="5" xfId="1" applyNumberFormat="1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3" fontId="3" fillId="0" borderId="5" xfId="0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vertical="center"/>
    </xf>
    <xf numFmtId="3" fontId="3" fillId="4" borderId="5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vertical="center"/>
    </xf>
    <xf numFmtId="43" fontId="3" fillId="0" borderId="5" xfId="1" applyNumberFormat="1" applyFont="1" applyBorder="1" applyAlignment="1">
      <alignment vertical="center"/>
    </xf>
    <xf numFmtId="3" fontId="3" fillId="0" borderId="5" xfId="0" applyNumberFormat="1" applyFont="1" applyBorder="1" applyAlignment="1">
      <alignment vertical="center"/>
    </xf>
    <xf numFmtId="43" fontId="3" fillId="4" borderId="5" xfId="1" applyNumberFormat="1" applyFont="1" applyFill="1" applyBorder="1" applyAlignment="1">
      <alignment vertical="center"/>
    </xf>
    <xf numFmtId="3" fontId="3" fillId="4" borderId="5" xfId="0" applyNumberFormat="1" applyFont="1" applyFill="1" applyBorder="1" applyAlignment="1">
      <alignment vertical="center"/>
    </xf>
    <xf numFmtId="3" fontId="3" fillId="4" borderId="4" xfId="0" applyNumberFormat="1" applyFont="1" applyFill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164" fontId="3" fillId="0" borderId="7" xfId="1" applyNumberFormat="1" applyFont="1" applyBorder="1" applyAlignment="1">
      <alignment vertical="center"/>
    </xf>
    <xf numFmtId="43" fontId="3" fillId="0" borderId="7" xfId="1" applyNumberFormat="1" applyFont="1" applyBorder="1" applyAlignment="1">
      <alignment vertical="center"/>
    </xf>
    <xf numFmtId="3" fontId="3" fillId="0" borderId="7" xfId="0" applyNumberFormat="1" applyFont="1" applyBorder="1" applyAlignment="1">
      <alignment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ROGRAMA&#199;&#195;O_ENVASE_PYTH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ejamento"/>
      <sheetName val="TAB CXUNID"/>
      <sheetName val="programação"/>
      <sheetName val="saldo P.A"/>
      <sheetName val="atual. pedido"/>
      <sheetName val="atacadão"/>
      <sheetName val="FRASCO E TAMPA"/>
      <sheetName val="Insumos"/>
      <sheetName val="sleeve antigo"/>
      <sheetName val="RELATORIO 2"/>
      <sheetName val="contagem"/>
      <sheetName val="RELATORIO"/>
      <sheetName val="PRODUÇÃO"/>
      <sheetName val="Plan2"/>
      <sheetName val="graficos"/>
      <sheetName val="Sopro"/>
      <sheetName val="grafico sopro"/>
      <sheetName val="DAD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3"/>
  <sheetViews>
    <sheetView tabSelected="1" workbookViewId="0">
      <selection activeCell="E13" sqref="E13"/>
    </sheetView>
  </sheetViews>
  <sheetFormatPr defaultRowHeight="12.75" x14ac:dyDescent="0.2"/>
  <cols>
    <col min="1" max="1" width="7.42578125" bestFit="1" customWidth="1"/>
    <col min="2" max="2" width="13.28515625" bestFit="1" customWidth="1"/>
    <col min="3" max="3" width="6.7109375" customWidth="1"/>
    <col min="4" max="4" width="8.140625" bestFit="1" customWidth="1"/>
    <col min="5" max="5" width="66.42578125" bestFit="1" customWidth="1"/>
    <col min="6" max="6" width="10" bestFit="1" customWidth="1"/>
    <col min="7" max="7" width="10.85546875" bestFit="1" customWidth="1"/>
    <col min="8" max="8" width="9" bestFit="1" customWidth="1"/>
    <col min="9" max="9" width="17.28515625" bestFit="1" customWidth="1"/>
    <col min="10" max="10" width="6.7109375" bestFit="1" customWidth="1"/>
    <col min="11" max="11" width="16.85546875" bestFit="1" customWidth="1"/>
    <col min="12" max="12" width="19.28515625" bestFit="1" customWidth="1"/>
  </cols>
  <sheetData>
    <row r="1" spans="1:12" ht="32.25" thickBot="1" x14ac:dyDescent="0.25">
      <c r="A1" s="1" t="s">
        <v>3</v>
      </c>
      <c r="B1" s="2" t="s">
        <v>1</v>
      </c>
      <c r="C1" s="3" t="s">
        <v>4</v>
      </c>
      <c r="D1" s="4" t="s">
        <v>5</v>
      </c>
      <c r="E1" s="4" t="s">
        <v>0</v>
      </c>
      <c r="F1" s="5" t="s">
        <v>6</v>
      </c>
      <c r="G1" s="4" t="s">
        <v>2</v>
      </c>
      <c r="H1" s="5" t="s">
        <v>7</v>
      </c>
      <c r="I1" s="3" t="s">
        <v>8</v>
      </c>
      <c r="J1" s="3" t="s">
        <v>9</v>
      </c>
      <c r="K1" s="3" t="s">
        <v>10</v>
      </c>
      <c r="L1" s="4" t="s">
        <v>11</v>
      </c>
    </row>
    <row r="2" spans="1:12" x14ac:dyDescent="0.2">
      <c r="A2" s="6">
        <v>26</v>
      </c>
      <c r="B2" s="7" t="str">
        <f>CONCATENATE(C2,D2)</f>
        <v>1624</v>
      </c>
      <c r="C2" s="7">
        <v>1624</v>
      </c>
      <c r="D2" s="7" t="s">
        <v>12</v>
      </c>
      <c r="E2" s="8" t="s">
        <v>13</v>
      </c>
      <c r="F2" s="9">
        <v>2000</v>
      </c>
      <c r="G2" s="7">
        <v>0</v>
      </c>
      <c r="H2" s="10" t="str">
        <f>IFERROR(([1]!Tabela145[[#This Row],[CONTAGEM]])/([1]!Tabela145[[#This Row],[MEDIA DE VENDA]]/30),"")</f>
        <v/>
      </c>
      <c r="I2" s="8" t="s">
        <v>14</v>
      </c>
      <c r="J2" s="8">
        <v>100</v>
      </c>
      <c r="K2" s="8" t="s">
        <v>15</v>
      </c>
      <c r="L2" s="8" t="s">
        <v>16</v>
      </c>
    </row>
    <row r="3" spans="1:12" x14ac:dyDescent="0.2">
      <c r="A3" s="11">
        <v>31</v>
      </c>
      <c r="B3" s="7" t="str">
        <f t="shared" ref="B3:B66" si="0">CONCATENATE(C3,D3)</f>
        <v>1428</v>
      </c>
      <c r="C3" s="12">
        <v>1428</v>
      </c>
      <c r="D3" s="12" t="s">
        <v>12</v>
      </c>
      <c r="E3" s="13" t="s">
        <v>17</v>
      </c>
      <c r="F3" s="9">
        <v>3000</v>
      </c>
      <c r="G3" s="14">
        <v>1400</v>
      </c>
      <c r="H3" s="15" t="str">
        <f>IFERROR(([1]!Tabela145[[#This Row],[CONTAGEM]])/([1]!Tabela145[[#This Row],[MEDIA DE VENDA]]/30),"")</f>
        <v/>
      </c>
      <c r="I3" s="13" t="s">
        <v>14</v>
      </c>
      <c r="J3" s="13">
        <v>4000</v>
      </c>
      <c r="K3" s="13" t="s">
        <v>18</v>
      </c>
      <c r="L3" s="13"/>
    </row>
    <row r="4" spans="1:12" x14ac:dyDescent="0.2">
      <c r="A4" s="6">
        <v>33</v>
      </c>
      <c r="B4" s="7" t="str">
        <f t="shared" si="0"/>
        <v>1586</v>
      </c>
      <c r="C4" s="7">
        <v>1586</v>
      </c>
      <c r="D4" s="7" t="s">
        <v>12</v>
      </c>
      <c r="E4" s="8" t="s">
        <v>19</v>
      </c>
      <c r="F4" s="9">
        <v>10000</v>
      </c>
      <c r="G4" s="16">
        <v>2100</v>
      </c>
      <c r="H4" s="10">
        <f>IFERROR(([1]!Tabela145[[#This Row],[CONTAGEM]])/([1]!Tabela145[[#This Row],[MEDIA DE VENDA]]/30),"")</f>
        <v>0</v>
      </c>
      <c r="I4" s="8" t="s">
        <v>14</v>
      </c>
      <c r="J4" s="8">
        <v>70</v>
      </c>
      <c r="K4" s="8" t="s">
        <v>20</v>
      </c>
      <c r="L4" s="8"/>
    </row>
    <row r="5" spans="1:12" x14ac:dyDescent="0.2">
      <c r="A5" s="11">
        <v>1</v>
      </c>
      <c r="B5" s="7" t="str">
        <f t="shared" si="0"/>
        <v>1045</v>
      </c>
      <c r="C5" s="12">
        <v>1045</v>
      </c>
      <c r="D5" s="12" t="s">
        <v>12</v>
      </c>
      <c r="E5" s="13" t="s">
        <v>21</v>
      </c>
      <c r="F5" s="15">
        <v>1500</v>
      </c>
      <c r="G5" s="12">
        <v>955</v>
      </c>
      <c r="H5" s="15">
        <f>IFERROR(([1]!Tabela145[[#This Row],[CONTAGEM]]*12)/([1]!Tabela145[[#This Row],[MEDIA DE VENDA]]/30),"")</f>
        <v>168</v>
      </c>
      <c r="I5" s="13" t="s">
        <v>22</v>
      </c>
      <c r="J5" s="13"/>
      <c r="K5" s="13" t="s">
        <v>23</v>
      </c>
      <c r="L5" s="13" t="s">
        <v>24</v>
      </c>
    </row>
    <row r="6" spans="1:12" x14ac:dyDescent="0.2">
      <c r="A6" s="6">
        <v>52</v>
      </c>
      <c r="B6" s="7" t="str">
        <f t="shared" si="0"/>
        <v>1497</v>
      </c>
      <c r="C6" s="7">
        <v>1497</v>
      </c>
      <c r="D6" s="7" t="s">
        <v>12</v>
      </c>
      <c r="E6" s="8" t="s">
        <v>25</v>
      </c>
      <c r="F6" s="10">
        <v>5000</v>
      </c>
      <c r="G6" s="7">
        <v>0</v>
      </c>
      <c r="H6" s="10">
        <f>IFERROR(([1]!Tabela145[[#This Row],[CONTAGEM]])/([1]!Tabela145[[#This Row],[MEDIA DE VENDA]]/30),"")</f>
        <v>6.3000000000000007</v>
      </c>
      <c r="I6" s="8" t="s">
        <v>26</v>
      </c>
      <c r="J6" s="8">
        <v>90</v>
      </c>
      <c r="K6" s="8" t="s">
        <v>27</v>
      </c>
      <c r="L6" s="8" t="s">
        <v>28</v>
      </c>
    </row>
    <row r="7" spans="1:12" x14ac:dyDescent="0.2">
      <c r="A7" s="11">
        <v>46</v>
      </c>
      <c r="B7" s="7" t="str">
        <f t="shared" si="0"/>
        <v>1187</v>
      </c>
      <c r="C7" s="12">
        <v>1187</v>
      </c>
      <c r="D7" s="12" t="s">
        <v>12</v>
      </c>
      <c r="E7" s="13" t="s">
        <v>29</v>
      </c>
      <c r="F7" s="15">
        <v>5000</v>
      </c>
      <c r="G7" s="14">
        <v>2000</v>
      </c>
      <c r="H7" s="15">
        <f>IFERROR(([1]!Tabela145[[#This Row],[CONTAGEM]])/([1]!Tabela145[[#This Row],[MEDIA DE VENDA]]/30),"")</f>
        <v>19.100000000000001</v>
      </c>
      <c r="I7" s="13" t="s">
        <v>26</v>
      </c>
      <c r="J7" s="13">
        <v>120</v>
      </c>
      <c r="K7" s="13" t="s">
        <v>30</v>
      </c>
      <c r="L7" s="13" t="s">
        <v>31</v>
      </c>
    </row>
    <row r="8" spans="1:12" x14ac:dyDescent="0.2">
      <c r="A8" s="6">
        <v>2</v>
      </c>
      <c r="B8" s="7" t="str">
        <f t="shared" si="0"/>
        <v>1588</v>
      </c>
      <c r="C8" s="7">
        <v>1588</v>
      </c>
      <c r="D8" s="7" t="s">
        <v>12</v>
      </c>
      <c r="E8" s="8" t="s">
        <v>32</v>
      </c>
      <c r="F8" s="10">
        <v>500</v>
      </c>
      <c r="G8" s="16">
        <v>8525</v>
      </c>
      <c r="H8" s="10">
        <f>IFERROR(([1]!Tabela145[[#This Row],[CONTAGEM]]*6)/([1]!Tabela145[[#This Row],[MEDIA DE VENDA]]/30),"")</f>
        <v>0</v>
      </c>
      <c r="I8" s="8" t="s">
        <v>22</v>
      </c>
      <c r="J8" s="8">
        <v>120</v>
      </c>
      <c r="K8" s="8" t="s">
        <v>20</v>
      </c>
      <c r="L8" s="8" t="s">
        <v>33</v>
      </c>
    </row>
    <row r="9" spans="1:12" x14ac:dyDescent="0.2">
      <c r="A9" s="11">
        <v>60</v>
      </c>
      <c r="B9" s="7" t="str">
        <f t="shared" si="0"/>
        <v>1501</v>
      </c>
      <c r="C9" s="12">
        <v>1501</v>
      </c>
      <c r="D9" s="12" t="s">
        <v>12</v>
      </c>
      <c r="E9" s="13" t="s">
        <v>34</v>
      </c>
      <c r="F9" s="15">
        <v>2000</v>
      </c>
      <c r="G9" s="12">
        <v>800</v>
      </c>
      <c r="H9" s="15">
        <f>IFERROR(([1]!Tabela145[[#This Row],[CONTAGEM]])/([1]!Tabela145[[#This Row],[MEDIA DE VENDA]]/30),"")</f>
        <v>12</v>
      </c>
      <c r="I9" s="13" t="s">
        <v>26</v>
      </c>
      <c r="J9" s="13">
        <v>90</v>
      </c>
      <c r="K9" s="13" t="s">
        <v>27</v>
      </c>
      <c r="L9" s="13" t="s">
        <v>35</v>
      </c>
    </row>
    <row r="10" spans="1:12" x14ac:dyDescent="0.2">
      <c r="A10" s="6">
        <v>70</v>
      </c>
      <c r="B10" s="7" t="str">
        <f t="shared" si="0"/>
        <v>1451</v>
      </c>
      <c r="C10" s="7">
        <v>1451</v>
      </c>
      <c r="D10" s="7" t="s">
        <v>12</v>
      </c>
      <c r="E10" s="8" t="s">
        <v>36</v>
      </c>
      <c r="F10" s="10">
        <v>5000</v>
      </c>
      <c r="G10" s="16">
        <v>3800</v>
      </c>
      <c r="H10" s="10">
        <f>IFERROR(([1]!Tabela145[[#This Row],[CONTAGEM]])/([1]!Tabela145[[#This Row],[MEDIA DE VENDA]]/30),"")</f>
        <v>511.49999999999994</v>
      </c>
      <c r="I10" s="8" t="s">
        <v>26</v>
      </c>
      <c r="J10" s="8">
        <v>90</v>
      </c>
      <c r="K10" s="8" t="s">
        <v>20</v>
      </c>
      <c r="L10" s="8" t="s">
        <v>37</v>
      </c>
    </row>
    <row r="11" spans="1:12" x14ac:dyDescent="0.2">
      <c r="A11" s="11">
        <v>71</v>
      </c>
      <c r="B11" s="7" t="str">
        <f t="shared" si="0"/>
        <v>1452</v>
      </c>
      <c r="C11" s="12">
        <v>1452</v>
      </c>
      <c r="D11" s="12" t="s">
        <v>12</v>
      </c>
      <c r="E11" s="13" t="s">
        <v>38</v>
      </c>
      <c r="F11" s="15">
        <v>5000</v>
      </c>
      <c r="G11" s="14">
        <v>4000</v>
      </c>
      <c r="H11" s="15">
        <f>IFERROR(([1]!Tabela145[[#This Row],[CONTAGEM]])/([1]!Tabela145[[#This Row],[MEDIA DE VENDA]]/30),"")</f>
        <v>12</v>
      </c>
      <c r="I11" s="13" t="s">
        <v>26</v>
      </c>
      <c r="J11" s="13">
        <v>90</v>
      </c>
      <c r="K11" s="13" t="s">
        <v>20</v>
      </c>
      <c r="L11" s="13" t="s">
        <v>37</v>
      </c>
    </row>
    <row r="12" spans="1:12" x14ac:dyDescent="0.2">
      <c r="A12" s="6">
        <v>54</v>
      </c>
      <c r="B12" s="7" t="str">
        <f t="shared" si="0"/>
        <v>1499</v>
      </c>
      <c r="C12" s="7">
        <v>1499</v>
      </c>
      <c r="D12" s="7" t="s">
        <v>12</v>
      </c>
      <c r="E12" s="8" t="s">
        <v>39</v>
      </c>
      <c r="F12" s="10">
        <v>20000</v>
      </c>
      <c r="G12" s="16">
        <v>30000</v>
      </c>
      <c r="H12" s="10">
        <f>IFERROR(([1]!Tabela145[[#This Row],[CONTAGEM]])/([1]!Tabela145[[#This Row],[MEDIA DE VENDA]]/30),"")</f>
        <v>22.8</v>
      </c>
      <c r="I12" s="8" t="s">
        <v>26</v>
      </c>
      <c r="J12" s="8">
        <v>90</v>
      </c>
      <c r="K12" s="8" t="s">
        <v>27</v>
      </c>
      <c r="L12" s="8" t="s">
        <v>40</v>
      </c>
    </row>
    <row r="13" spans="1:12" x14ac:dyDescent="0.2">
      <c r="A13" s="11">
        <v>28</v>
      </c>
      <c r="B13" s="7" t="str">
        <f t="shared" si="0"/>
        <v>1470</v>
      </c>
      <c r="C13" s="12">
        <v>1470</v>
      </c>
      <c r="D13" s="12" t="s">
        <v>12</v>
      </c>
      <c r="E13" s="13" t="s">
        <v>41</v>
      </c>
      <c r="F13" s="9">
        <v>25000</v>
      </c>
      <c r="G13" s="14">
        <v>9732</v>
      </c>
      <c r="H13" s="15">
        <f>IFERROR(([1]!Tabela145[[#This Row],[CONTAGEM]])/([1]!Tabela145[[#This Row],[MEDIA DE VENDA]]/30),"")</f>
        <v>24</v>
      </c>
      <c r="I13" s="13" t="s">
        <v>14</v>
      </c>
      <c r="J13" s="13">
        <v>90</v>
      </c>
      <c r="K13" s="13" t="s">
        <v>27</v>
      </c>
      <c r="L13" s="13"/>
    </row>
    <row r="14" spans="1:12" x14ac:dyDescent="0.2">
      <c r="A14" s="6">
        <v>3</v>
      </c>
      <c r="B14" s="7" t="str">
        <f t="shared" si="0"/>
        <v>1340</v>
      </c>
      <c r="C14" s="7">
        <v>1340</v>
      </c>
      <c r="D14" s="7" t="s">
        <v>12</v>
      </c>
      <c r="E14" s="8" t="s">
        <v>42</v>
      </c>
      <c r="F14" s="10">
        <v>8000</v>
      </c>
      <c r="G14" s="16">
        <v>8502</v>
      </c>
      <c r="H14" s="10">
        <f>IFERROR((([1]!Tabela145[[#This Row],[CONTAGEM]]*6))/([1]!Tabela145[[#This Row],[MEDIA DE VENDA]]/30),"")</f>
        <v>270</v>
      </c>
      <c r="I14" s="8" t="s">
        <v>22</v>
      </c>
      <c r="J14" s="8">
        <v>500</v>
      </c>
      <c r="K14" s="8" t="s">
        <v>30</v>
      </c>
      <c r="L14" s="8"/>
    </row>
    <row r="15" spans="1:12" x14ac:dyDescent="0.2">
      <c r="A15" s="11">
        <v>47</v>
      </c>
      <c r="B15" s="7" t="str">
        <f t="shared" si="0"/>
        <v>572</v>
      </c>
      <c r="C15" s="12">
        <v>572</v>
      </c>
      <c r="D15" s="12" t="s">
        <v>12</v>
      </c>
      <c r="E15" s="13" t="s">
        <v>43</v>
      </c>
      <c r="F15" s="15">
        <v>4000</v>
      </c>
      <c r="G15" s="14">
        <v>3000</v>
      </c>
      <c r="H15" s="15">
        <f>IFERROR(([1]!Tabela145[[#This Row],[CONTAGEM]])/([1]!Tabela145[[#This Row],[MEDIA DE VENDA]]/30),"")</f>
        <v>11.6784</v>
      </c>
      <c r="I15" s="13" t="s">
        <v>26</v>
      </c>
      <c r="J15" s="13">
        <v>500</v>
      </c>
      <c r="K15" s="13" t="s">
        <v>30</v>
      </c>
      <c r="L15" s="13" t="s">
        <v>31</v>
      </c>
    </row>
    <row r="16" spans="1:12" x14ac:dyDescent="0.2">
      <c r="A16" s="6">
        <v>86</v>
      </c>
      <c r="B16" s="7" t="str">
        <f t="shared" si="0"/>
        <v>15082059</v>
      </c>
      <c r="C16" s="7">
        <v>1508</v>
      </c>
      <c r="D16" s="7">
        <v>2059</v>
      </c>
      <c r="E16" s="8" t="s">
        <v>44</v>
      </c>
      <c r="F16" s="10">
        <v>2000</v>
      </c>
      <c r="G16" s="16">
        <v>1500</v>
      </c>
      <c r="H16" s="10">
        <f>IFERROR(([1]!Tabela145[[#This Row],[CONTAGEM]])/([1]!Tabela145[[#This Row],[MEDIA DE VENDA]]/30),"")</f>
        <v>31.882499999999997</v>
      </c>
      <c r="I16" s="8" t="s">
        <v>26</v>
      </c>
      <c r="J16" s="8">
        <v>75</v>
      </c>
      <c r="K16" s="8" t="s">
        <v>45</v>
      </c>
      <c r="L16" s="8" t="s">
        <v>46</v>
      </c>
    </row>
    <row r="17" spans="1:12" x14ac:dyDescent="0.2">
      <c r="A17" s="11">
        <v>119</v>
      </c>
      <c r="B17" s="7" t="str">
        <f t="shared" si="0"/>
        <v>1539</v>
      </c>
      <c r="C17" s="12">
        <v>1539</v>
      </c>
      <c r="D17" s="12" t="s">
        <v>12</v>
      </c>
      <c r="E17" s="13" t="s">
        <v>47</v>
      </c>
      <c r="F17" s="15">
        <v>2000</v>
      </c>
      <c r="G17" s="14">
        <v>4000</v>
      </c>
      <c r="H17" s="15">
        <f>IFERROR(([1]!Tabela145[[#This Row],[CONTAGEM]])/([1]!Tabela145[[#This Row],[MEDIA DE VENDA]]/30),"")</f>
        <v>22.5</v>
      </c>
      <c r="I17" s="13" t="s">
        <v>48</v>
      </c>
      <c r="J17" s="13">
        <v>75</v>
      </c>
      <c r="K17" s="13" t="s">
        <v>45</v>
      </c>
      <c r="L17" s="13"/>
    </row>
    <row r="18" spans="1:12" x14ac:dyDescent="0.2">
      <c r="A18" s="6">
        <v>123</v>
      </c>
      <c r="B18" s="7" t="str">
        <f t="shared" si="0"/>
        <v>925</v>
      </c>
      <c r="C18" s="7">
        <v>925</v>
      </c>
      <c r="D18" s="7" t="s">
        <v>12</v>
      </c>
      <c r="E18" s="8" t="s">
        <v>49</v>
      </c>
      <c r="F18" s="10">
        <v>5000</v>
      </c>
      <c r="G18" s="16">
        <v>13118</v>
      </c>
      <c r="H18" s="10">
        <f>IFERROR(([1]!Tabela145[[#This Row],[CONTAGEM]])/([1]!Tabela145[[#This Row],[MEDIA DE VENDA]]/30),"")</f>
        <v>22.5</v>
      </c>
      <c r="I18" s="8" t="s">
        <v>48</v>
      </c>
      <c r="J18" s="8">
        <v>75</v>
      </c>
      <c r="K18" s="8" t="s">
        <v>45</v>
      </c>
      <c r="L18" s="8"/>
    </row>
    <row r="19" spans="1:12" x14ac:dyDescent="0.2">
      <c r="A19" s="11">
        <v>27</v>
      </c>
      <c r="B19" s="7" t="str">
        <f t="shared" si="0"/>
        <v>1625</v>
      </c>
      <c r="C19" s="12">
        <v>1625</v>
      </c>
      <c r="D19" s="12" t="s">
        <v>12</v>
      </c>
      <c r="E19" s="13" t="s">
        <v>50</v>
      </c>
      <c r="F19" s="9">
        <v>2000</v>
      </c>
      <c r="G19" s="14">
        <v>2000</v>
      </c>
      <c r="H19" s="15">
        <f>IFERROR(([1]!Tabela145[[#This Row],[CONTAGEM]])/([1]!Tabela145[[#This Row],[MEDIA DE VENDA]]/30),"")</f>
        <v>59.999999999999993</v>
      </c>
      <c r="I19" s="13" t="s">
        <v>14</v>
      </c>
      <c r="J19" s="13">
        <v>100</v>
      </c>
      <c r="K19" s="13" t="s">
        <v>15</v>
      </c>
      <c r="L19" s="13" t="s">
        <v>51</v>
      </c>
    </row>
    <row r="20" spans="1:12" x14ac:dyDescent="0.2">
      <c r="A20" s="6">
        <v>58</v>
      </c>
      <c r="B20" s="7" t="str">
        <f t="shared" si="0"/>
        <v>1614</v>
      </c>
      <c r="C20" s="7">
        <v>1614</v>
      </c>
      <c r="D20" s="7" t="s">
        <v>12</v>
      </c>
      <c r="E20" s="8" t="s">
        <v>52</v>
      </c>
      <c r="F20" s="10">
        <v>2000</v>
      </c>
      <c r="G20" s="16">
        <v>2000</v>
      </c>
      <c r="H20" s="10">
        <f>IFERROR(([1]!Tabela145[[#This Row],[CONTAGEM]])/([1]!Tabela145[[#This Row],[MEDIA DE VENDA]]/30),"")</f>
        <v>78.707999999999998</v>
      </c>
      <c r="I20" s="8" t="s">
        <v>26</v>
      </c>
      <c r="J20" s="8">
        <v>90</v>
      </c>
      <c r="K20" s="8" t="s">
        <v>27</v>
      </c>
      <c r="L20" s="8" t="s">
        <v>53</v>
      </c>
    </row>
    <row r="21" spans="1:12" x14ac:dyDescent="0.2">
      <c r="A21" s="11">
        <v>66</v>
      </c>
      <c r="B21" s="7" t="str">
        <f t="shared" si="0"/>
        <v>1581</v>
      </c>
      <c r="C21" s="12">
        <v>1581</v>
      </c>
      <c r="D21" s="12" t="s">
        <v>12</v>
      </c>
      <c r="E21" s="13" t="s">
        <v>54</v>
      </c>
      <c r="F21" s="15">
        <v>4000</v>
      </c>
      <c r="G21" s="14">
        <v>2000</v>
      </c>
      <c r="H21" s="15">
        <f>IFERROR(([1]!Tabela145[[#This Row],[CONTAGEM]])/([1]!Tabela145[[#This Row],[MEDIA DE VENDA]]/30),"")</f>
        <v>29.999999999999996</v>
      </c>
      <c r="I21" s="13" t="s">
        <v>26</v>
      </c>
      <c r="J21" s="13">
        <v>500</v>
      </c>
      <c r="K21" s="13" t="s">
        <v>20</v>
      </c>
      <c r="L21" s="13" t="s">
        <v>55</v>
      </c>
    </row>
    <row r="22" spans="1:12" x14ac:dyDescent="0.2">
      <c r="A22" s="6">
        <v>64</v>
      </c>
      <c r="B22" s="7" t="str">
        <f t="shared" si="0"/>
        <v>1579</v>
      </c>
      <c r="C22" s="7">
        <v>1579</v>
      </c>
      <c r="D22" s="7" t="s">
        <v>12</v>
      </c>
      <c r="E22" s="8" t="s">
        <v>56</v>
      </c>
      <c r="F22" s="10">
        <v>4000</v>
      </c>
      <c r="G22" s="16">
        <v>6000</v>
      </c>
      <c r="H22" s="10">
        <f>IFERROR(([1]!Tabela145[[#This Row],[CONTAGEM]])/([1]!Tabela145[[#This Row],[MEDIA DE VENDA]]/30),"")</f>
        <v>29.999999999999996</v>
      </c>
      <c r="I22" s="8" t="s">
        <v>26</v>
      </c>
      <c r="J22" s="8">
        <v>500</v>
      </c>
      <c r="K22" s="8" t="s">
        <v>20</v>
      </c>
      <c r="L22" s="8" t="s">
        <v>57</v>
      </c>
    </row>
    <row r="23" spans="1:12" x14ac:dyDescent="0.2">
      <c r="A23" s="11">
        <v>4</v>
      </c>
      <c r="B23" s="7" t="str">
        <f t="shared" si="0"/>
        <v>489</v>
      </c>
      <c r="C23" s="12">
        <v>489</v>
      </c>
      <c r="D23" s="12" t="s">
        <v>12</v>
      </c>
      <c r="E23" s="13" t="s">
        <v>58</v>
      </c>
      <c r="F23" s="15">
        <v>60000</v>
      </c>
      <c r="G23" s="14">
        <v>5849</v>
      </c>
      <c r="H23" s="15">
        <f>IFERROR(([1]!Tabela145[[#This Row],[CONTAGEM]]*6)/([1]!Tabela145[[#This Row],[MEDIA DE VENDA]]/30),"")</f>
        <v>90</v>
      </c>
      <c r="I23" s="13" t="s">
        <v>22</v>
      </c>
      <c r="J23" s="13">
        <v>900</v>
      </c>
      <c r="K23" s="13" t="s">
        <v>59</v>
      </c>
      <c r="L23" s="13"/>
    </row>
    <row r="24" spans="1:12" x14ac:dyDescent="0.2">
      <c r="A24" s="6">
        <v>24</v>
      </c>
      <c r="B24" s="7" t="str">
        <f t="shared" si="0"/>
        <v>928</v>
      </c>
      <c r="C24" s="7">
        <v>928</v>
      </c>
      <c r="D24" s="7" t="s">
        <v>12</v>
      </c>
      <c r="E24" s="8" t="s">
        <v>60</v>
      </c>
      <c r="F24" s="10">
        <v>10000</v>
      </c>
      <c r="G24" s="16">
        <v>4348</v>
      </c>
      <c r="H24" s="10">
        <f>IFERROR(([1]!Tabela145[[#This Row],[CONTAGEM]])/([1]!Tabela145[[#This Row],[MEDIA DE VENDA]]/30),"")</f>
        <v>45</v>
      </c>
      <c r="I24" s="8" t="s">
        <v>61</v>
      </c>
      <c r="J24" s="8">
        <v>75</v>
      </c>
      <c r="K24" s="8" t="s">
        <v>45</v>
      </c>
      <c r="L24" s="8"/>
    </row>
    <row r="25" spans="1:12" x14ac:dyDescent="0.2">
      <c r="A25" s="11">
        <v>5</v>
      </c>
      <c r="B25" s="7" t="str">
        <f t="shared" si="0"/>
        <v>1681</v>
      </c>
      <c r="C25" s="12">
        <v>1681</v>
      </c>
      <c r="D25" s="12" t="s">
        <v>12</v>
      </c>
      <c r="E25" s="13" t="s">
        <v>62</v>
      </c>
      <c r="F25" s="15">
        <v>1500</v>
      </c>
      <c r="G25" s="14">
        <v>1335</v>
      </c>
      <c r="H25" s="15">
        <f>IFERROR(([1]!Tabela145[[#This Row],[CONTAGEM]]*12)/([1]!Tabela145[[#This Row],[MEDIA DE VENDA]]/30),"")</f>
        <v>35.094000000000001</v>
      </c>
      <c r="I25" s="13" t="s">
        <v>22</v>
      </c>
      <c r="J25" s="13">
        <v>100</v>
      </c>
      <c r="K25" s="13" t="s">
        <v>15</v>
      </c>
      <c r="L25" s="13"/>
    </row>
    <row r="26" spans="1:12" x14ac:dyDescent="0.2">
      <c r="A26" s="6">
        <v>48</v>
      </c>
      <c r="B26" s="7" t="str">
        <f t="shared" si="0"/>
        <v>1186</v>
      </c>
      <c r="C26" s="7">
        <v>1186</v>
      </c>
      <c r="D26" s="7" t="s">
        <v>12</v>
      </c>
      <c r="E26" s="8" t="s">
        <v>63</v>
      </c>
      <c r="F26" s="10">
        <v>5000</v>
      </c>
      <c r="G26" s="16">
        <v>6000</v>
      </c>
      <c r="H26" s="10">
        <f>IFERROR(([1]!Tabela145[[#This Row],[CONTAGEM]])/([1]!Tabela145[[#This Row],[MEDIA DE VENDA]]/30),"")</f>
        <v>13.044</v>
      </c>
      <c r="I26" s="8" t="s">
        <v>26</v>
      </c>
      <c r="J26" s="8">
        <v>120</v>
      </c>
      <c r="K26" s="8" t="s">
        <v>30</v>
      </c>
      <c r="L26" s="8" t="s">
        <v>64</v>
      </c>
    </row>
    <row r="27" spans="1:12" x14ac:dyDescent="0.2">
      <c r="A27" s="11">
        <v>65</v>
      </c>
      <c r="B27" s="7" t="str">
        <f t="shared" si="0"/>
        <v>1580</v>
      </c>
      <c r="C27" s="12">
        <v>1580</v>
      </c>
      <c r="D27" s="12" t="s">
        <v>12</v>
      </c>
      <c r="E27" s="13" t="s">
        <v>65</v>
      </c>
      <c r="F27" s="15">
        <v>4000</v>
      </c>
      <c r="G27" s="12">
        <v>0</v>
      </c>
      <c r="H27" s="15">
        <f>IFERROR(([1]!Tabela145[[#This Row],[CONTAGEM]])/([1]!Tabela145[[#This Row],[MEDIA DE VENDA]]/30),"")</f>
        <v>26.7</v>
      </c>
      <c r="I27" s="13" t="s">
        <v>26</v>
      </c>
      <c r="J27" s="13">
        <v>500</v>
      </c>
      <c r="K27" s="13" t="s">
        <v>20</v>
      </c>
      <c r="L27" s="13" t="s">
        <v>66</v>
      </c>
    </row>
    <row r="28" spans="1:12" x14ac:dyDescent="0.2">
      <c r="A28" s="6">
        <v>30</v>
      </c>
      <c r="B28" s="7" t="str">
        <f t="shared" si="0"/>
        <v>535</v>
      </c>
      <c r="C28" s="7">
        <v>535</v>
      </c>
      <c r="D28" s="7" t="s">
        <v>12</v>
      </c>
      <c r="E28" s="8" t="s">
        <v>67</v>
      </c>
      <c r="F28" s="9">
        <v>10000</v>
      </c>
      <c r="G28" s="16">
        <v>16764</v>
      </c>
      <c r="H28" s="10">
        <f>IFERROR(([1]!Tabela145[[#This Row],[CONTAGEM]])/([1]!Tabela145[[#This Row],[MEDIA DE VENDA]]/30),"")</f>
        <v>36</v>
      </c>
      <c r="I28" s="8" t="s">
        <v>14</v>
      </c>
      <c r="J28" s="8">
        <v>500</v>
      </c>
      <c r="K28" s="8" t="s">
        <v>30</v>
      </c>
      <c r="L28" s="8"/>
    </row>
    <row r="29" spans="1:12" x14ac:dyDescent="0.2">
      <c r="A29" s="11">
        <v>101</v>
      </c>
      <c r="B29" s="7" t="str">
        <f t="shared" si="0"/>
        <v>15229010</v>
      </c>
      <c r="C29" s="12">
        <v>1522</v>
      </c>
      <c r="D29" s="12">
        <v>9010</v>
      </c>
      <c r="E29" s="13" t="s">
        <v>68</v>
      </c>
      <c r="F29" s="15">
        <v>15000</v>
      </c>
      <c r="G29" s="14">
        <v>10000</v>
      </c>
      <c r="H29" s="15">
        <f>IFERROR(([1]!Tabela145[[#This Row],[CONTAGEM]])/([1]!Tabela145[[#This Row],[MEDIA DE VENDA]]/30),"")</f>
        <v>0</v>
      </c>
      <c r="I29" s="13" t="s">
        <v>26</v>
      </c>
      <c r="J29" s="13">
        <v>90</v>
      </c>
      <c r="K29" s="13" t="s">
        <v>59</v>
      </c>
      <c r="L29" s="13" t="s">
        <v>69</v>
      </c>
    </row>
    <row r="30" spans="1:12" x14ac:dyDescent="0.2">
      <c r="A30" s="6">
        <v>32</v>
      </c>
      <c r="B30" s="7" t="str">
        <f t="shared" si="0"/>
        <v>951</v>
      </c>
      <c r="C30" s="7">
        <v>951</v>
      </c>
      <c r="D30" s="7" t="s">
        <v>12</v>
      </c>
      <c r="E30" s="8" t="s">
        <v>70</v>
      </c>
      <c r="F30" s="9">
        <v>5000</v>
      </c>
      <c r="G30" s="16">
        <v>7740</v>
      </c>
      <c r="H30" s="10">
        <f>IFERROR(([1]!Tabela145[[#This Row],[CONTAGEM]])/([1]!Tabela145[[#This Row],[MEDIA DE VENDA]]/30),"")</f>
        <v>50.292000000000002</v>
      </c>
      <c r="I30" s="8" t="s">
        <v>14</v>
      </c>
      <c r="J30" s="8">
        <v>240</v>
      </c>
      <c r="K30" s="8" t="s">
        <v>15</v>
      </c>
      <c r="L30" s="8"/>
    </row>
    <row r="31" spans="1:12" x14ac:dyDescent="0.2">
      <c r="A31" s="11">
        <v>6</v>
      </c>
      <c r="B31" s="7" t="str">
        <f t="shared" si="0"/>
        <v>1623</v>
      </c>
      <c r="C31" s="12">
        <v>1623</v>
      </c>
      <c r="D31" s="12" t="s">
        <v>12</v>
      </c>
      <c r="E31" s="13" t="s">
        <v>71</v>
      </c>
      <c r="F31" s="15">
        <v>4000</v>
      </c>
      <c r="G31" s="14">
        <v>3601</v>
      </c>
      <c r="H31" s="15">
        <f>IFERROR(([1]!Tabela145[[#This Row],[CONTAGEM]]*12)/([1]!Tabela145[[#This Row],[MEDIA DE VENDA]]/30),"")</f>
        <v>240</v>
      </c>
      <c r="I31" s="13" t="s">
        <v>22</v>
      </c>
      <c r="J31" s="13">
        <v>120</v>
      </c>
      <c r="K31" s="13" t="s">
        <v>30</v>
      </c>
      <c r="L31" s="13"/>
    </row>
    <row r="32" spans="1:12" x14ac:dyDescent="0.2">
      <c r="A32" s="6">
        <v>89</v>
      </c>
      <c r="B32" s="7" t="str">
        <f t="shared" si="0"/>
        <v>52014</v>
      </c>
      <c r="C32" s="7">
        <v>520</v>
      </c>
      <c r="D32" s="7">
        <v>14</v>
      </c>
      <c r="E32" s="17" t="s">
        <v>72</v>
      </c>
      <c r="F32" s="10">
        <v>12402</v>
      </c>
      <c r="G32" s="16">
        <v>35644</v>
      </c>
      <c r="H32" s="10">
        <f>IFERROR(([1]!Tabela145[[#This Row],[CONTAGEM]])/([1]!Tabela145[[#This Row],[MEDIA DE VENDA]]/30),"")</f>
        <v>46.440000000000005</v>
      </c>
      <c r="I32" s="8" t="s">
        <v>26</v>
      </c>
      <c r="J32" s="8">
        <v>900</v>
      </c>
      <c r="K32" s="8" t="s">
        <v>59</v>
      </c>
      <c r="L32" s="8" t="s">
        <v>73</v>
      </c>
    </row>
    <row r="33" spans="1:12" x14ac:dyDescent="0.2">
      <c r="A33" s="11">
        <v>40</v>
      </c>
      <c r="B33" s="7" t="str">
        <f t="shared" si="0"/>
        <v>1612</v>
      </c>
      <c r="C33" s="12">
        <v>1612</v>
      </c>
      <c r="D33" s="12" t="s">
        <v>12</v>
      </c>
      <c r="E33" s="13" t="s">
        <v>74</v>
      </c>
      <c r="F33" s="9">
        <v>2000</v>
      </c>
      <c r="G33" s="14">
        <v>3500</v>
      </c>
      <c r="H33" s="15">
        <f>IFERROR(([1]!Tabela145[[#This Row],[CONTAGEM]])/([1]!Tabela145[[#This Row],[MEDIA DE VENDA]]/30),"")</f>
        <v>27.007499999999997</v>
      </c>
      <c r="I33" s="13" t="s">
        <v>26</v>
      </c>
      <c r="J33" s="13">
        <v>240</v>
      </c>
      <c r="K33" s="13" t="s">
        <v>15</v>
      </c>
      <c r="L33" s="13" t="s">
        <v>51</v>
      </c>
    </row>
    <row r="34" spans="1:12" x14ac:dyDescent="0.2">
      <c r="A34" s="6">
        <v>67</v>
      </c>
      <c r="B34" s="7" t="str">
        <f t="shared" si="0"/>
        <v>1582</v>
      </c>
      <c r="C34" s="7">
        <v>1582</v>
      </c>
      <c r="D34" s="7" t="s">
        <v>12</v>
      </c>
      <c r="E34" s="8" t="s">
        <v>75</v>
      </c>
      <c r="F34" s="10">
        <v>4000</v>
      </c>
      <c r="G34" s="16">
        <v>7000</v>
      </c>
      <c r="H34" s="10">
        <f>IFERROR(([1]!Tabela145[[#This Row],[CONTAGEM]])/([1]!Tabela145[[#This Row],[MEDIA DE VENDA]]/30),"")</f>
        <v>86.221577164973397</v>
      </c>
      <c r="I34" s="8" t="s">
        <v>26</v>
      </c>
      <c r="J34" s="8">
        <v>500</v>
      </c>
      <c r="K34" s="8" t="s">
        <v>20</v>
      </c>
      <c r="L34" s="8" t="s">
        <v>76</v>
      </c>
    </row>
    <row r="35" spans="1:12" x14ac:dyDescent="0.2">
      <c r="A35" s="11">
        <v>14</v>
      </c>
      <c r="B35" s="7" t="str">
        <f t="shared" si="0"/>
        <v>1648</v>
      </c>
      <c r="C35" s="12">
        <v>1648</v>
      </c>
      <c r="D35" s="12" t="s">
        <v>12</v>
      </c>
      <c r="E35" s="13" t="s">
        <v>77</v>
      </c>
      <c r="F35" s="15">
        <v>1600000</v>
      </c>
      <c r="G35" s="14">
        <v>73994</v>
      </c>
      <c r="H35" s="15">
        <f>IFERROR(([1]!Tabela145[[#This Row],[CONTAGEM]]*24)/([1]!Tabela145[[#This Row],[MEDIA DE VENDA]]/30),"")</f>
        <v>1260</v>
      </c>
      <c r="I35" s="13" t="s">
        <v>22</v>
      </c>
      <c r="J35" s="13">
        <v>90</v>
      </c>
      <c r="K35" s="13" t="s">
        <v>59</v>
      </c>
      <c r="L35" s="13"/>
    </row>
    <row r="36" spans="1:12" x14ac:dyDescent="0.2">
      <c r="A36" s="6">
        <v>61</v>
      </c>
      <c r="B36" s="7" t="str">
        <f t="shared" si="0"/>
        <v>466</v>
      </c>
      <c r="C36" s="7">
        <v>466</v>
      </c>
      <c r="D36" s="7" t="s">
        <v>12</v>
      </c>
      <c r="E36" s="8" t="s">
        <v>78</v>
      </c>
      <c r="F36" s="10">
        <v>1000</v>
      </c>
      <c r="G36" s="16">
        <v>1815</v>
      </c>
      <c r="H36" s="10">
        <f>IFERROR(([1]!Tabela145[[#This Row],[CONTAGEM]])/([1]!Tabela145[[#This Row],[MEDIA DE VENDA]]/30),"")</f>
        <v>52.499999999999993</v>
      </c>
      <c r="I36" s="8" t="s">
        <v>26</v>
      </c>
      <c r="J36" s="8">
        <v>4000</v>
      </c>
      <c r="K36" s="8" t="s">
        <v>18</v>
      </c>
      <c r="L36" s="8" t="s">
        <v>79</v>
      </c>
    </row>
    <row r="37" spans="1:12" x14ac:dyDescent="0.2">
      <c r="A37" s="11">
        <v>62</v>
      </c>
      <c r="B37" s="7" t="str">
        <f t="shared" si="0"/>
        <v>467</v>
      </c>
      <c r="C37" s="12">
        <v>467</v>
      </c>
      <c r="D37" s="12" t="s">
        <v>12</v>
      </c>
      <c r="E37" s="13" t="s">
        <v>80</v>
      </c>
      <c r="F37" s="15">
        <v>1000</v>
      </c>
      <c r="G37" s="14">
        <v>2500</v>
      </c>
      <c r="H37" s="15">
        <f>IFERROR(([1]!Tabela145[[#This Row],[CONTAGEM]])/([1]!Tabela145[[#This Row],[MEDIA DE VENDA]]/30),"")</f>
        <v>1.3873875</v>
      </c>
      <c r="I37" s="13" t="s">
        <v>26</v>
      </c>
      <c r="J37" s="13">
        <v>4000</v>
      </c>
      <c r="K37" s="13" t="s">
        <v>18</v>
      </c>
      <c r="L37" s="13" t="s">
        <v>73</v>
      </c>
    </row>
    <row r="38" spans="1:12" x14ac:dyDescent="0.2">
      <c r="A38" s="6">
        <v>141</v>
      </c>
      <c r="B38" s="7" t="str">
        <f t="shared" si="0"/>
        <v>1245</v>
      </c>
      <c r="C38" s="7">
        <v>1245</v>
      </c>
      <c r="D38" s="7" t="s">
        <v>12</v>
      </c>
      <c r="E38" s="8" t="s">
        <v>81</v>
      </c>
      <c r="F38" s="10">
        <v>20000</v>
      </c>
      <c r="G38" s="7">
        <v>0</v>
      </c>
      <c r="H38" s="10">
        <f>IFERROR(([1]!Tabela145[[#This Row],[CONTAGEM]])/([1]!Tabela145[[#This Row],[MEDIA DE VENDA]]/30),"")</f>
        <v>54.449999999999996</v>
      </c>
      <c r="I38" s="8" t="s">
        <v>26</v>
      </c>
      <c r="J38" s="8">
        <v>90</v>
      </c>
      <c r="K38" s="8" t="s">
        <v>27</v>
      </c>
      <c r="L38" s="8" t="s">
        <v>40</v>
      </c>
    </row>
    <row r="39" spans="1:12" x14ac:dyDescent="0.2">
      <c r="A39" s="11">
        <v>55</v>
      </c>
      <c r="B39" s="7" t="str">
        <f t="shared" si="0"/>
        <v>1615</v>
      </c>
      <c r="C39" s="12">
        <v>1615</v>
      </c>
      <c r="D39" s="12" t="s">
        <v>12</v>
      </c>
      <c r="E39" s="13" t="s">
        <v>82</v>
      </c>
      <c r="F39" s="15">
        <v>2000</v>
      </c>
      <c r="G39" s="14">
        <v>6000</v>
      </c>
      <c r="H39" s="15">
        <f>IFERROR(([1]!Tabela145[[#This Row],[CONTAGEM]])/([1]!Tabela145[[#This Row],[MEDIA DE VENDA]]/30),"")</f>
        <v>75</v>
      </c>
      <c r="I39" s="13" t="s">
        <v>26</v>
      </c>
      <c r="J39" s="13">
        <v>90</v>
      </c>
      <c r="K39" s="13" t="s">
        <v>27</v>
      </c>
      <c r="L39" s="13" t="s">
        <v>83</v>
      </c>
    </row>
    <row r="40" spans="1:12" x14ac:dyDescent="0.2">
      <c r="A40" s="6">
        <v>63</v>
      </c>
      <c r="B40" s="7" t="str">
        <f t="shared" si="0"/>
        <v>468</v>
      </c>
      <c r="C40" s="7">
        <v>468</v>
      </c>
      <c r="D40" s="7" t="s">
        <v>12</v>
      </c>
      <c r="E40" s="8" t="s">
        <v>84</v>
      </c>
      <c r="F40" s="10">
        <v>2000</v>
      </c>
      <c r="G40" s="16">
        <v>1016</v>
      </c>
      <c r="H40" s="10">
        <f>IFERROR(([1]!Tabela145[[#This Row],[CONTAGEM]])/([1]!Tabela145[[#This Row],[MEDIA DE VENDA]]/30),"")</f>
        <v>0</v>
      </c>
      <c r="I40" s="8" t="s">
        <v>26</v>
      </c>
      <c r="J40" s="8">
        <v>4000</v>
      </c>
      <c r="K40" s="8" t="s">
        <v>18</v>
      </c>
      <c r="L40" s="8" t="s">
        <v>85</v>
      </c>
    </row>
    <row r="41" spans="1:12" x14ac:dyDescent="0.2">
      <c r="A41" s="11">
        <v>43</v>
      </c>
      <c r="B41" s="7" t="str">
        <f t="shared" si="0"/>
        <v>571</v>
      </c>
      <c r="C41" s="12">
        <v>571</v>
      </c>
      <c r="D41" s="12" t="s">
        <v>12</v>
      </c>
      <c r="E41" s="13" t="s">
        <v>86</v>
      </c>
      <c r="F41" s="15">
        <v>2000</v>
      </c>
      <c r="G41" s="14">
        <v>4000</v>
      </c>
      <c r="H41" s="15">
        <f>IFERROR(([1]!Tabela145[[#This Row],[CONTAGEM]])/([1]!Tabela145[[#This Row],[MEDIA DE VENDA]]/30),"")</f>
        <v>90</v>
      </c>
      <c r="I41" s="13" t="s">
        <v>26</v>
      </c>
      <c r="J41" s="13">
        <v>90</v>
      </c>
      <c r="K41" s="13" t="s">
        <v>20</v>
      </c>
      <c r="L41" s="13" t="s">
        <v>87</v>
      </c>
    </row>
    <row r="42" spans="1:12" x14ac:dyDescent="0.2">
      <c r="A42" s="6">
        <v>44</v>
      </c>
      <c r="B42" s="7" t="str">
        <f t="shared" si="0"/>
        <v>1188</v>
      </c>
      <c r="C42" s="7">
        <v>1188</v>
      </c>
      <c r="D42" s="7" t="s">
        <v>12</v>
      </c>
      <c r="E42" s="8" t="s">
        <v>88</v>
      </c>
      <c r="F42" s="10">
        <v>5000</v>
      </c>
      <c r="G42" s="16">
        <v>10000</v>
      </c>
      <c r="H42" s="10">
        <f>IFERROR(([1]!Tabela145[[#This Row],[CONTAGEM]])/([1]!Tabela145[[#This Row],[MEDIA DE VENDA]]/30),"")</f>
        <v>15.239999999999998</v>
      </c>
      <c r="I42" s="8" t="s">
        <v>26</v>
      </c>
      <c r="J42" s="8">
        <v>120</v>
      </c>
      <c r="K42" s="8" t="s">
        <v>30</v>
      </c>
      <c r="L42" s="8" t="s">
        <v>89</v>
      </c>
    </row>
    <row r="43" spans="1:12" x14ac:dyDescent="0.2">
      <c r="A43" s="11">
        <v>17</v>
      </c>
      <c r="B43" s="7" t="str">
        <f t="shared" si="0"/>
        <v>1713</v>
      </c>
      <c r="C43" s="12">
        <v>1713</v>
      </c>
      <c r="D43" s="12" t="s">
        <v>12</v>
      </c>
      <c r="E43" s="13" t="s">
        <v>90</v>
      </c>
      <c r="F43" s="15">
        <v>60000</v>
      </c>
      <c r="G43" s="14">
        <v>3750</v>
      </c>
      <c r="H43" s="15">
        <f>IFERROR(([1]!Tabela145[[#This Row],[CONTAGEM]]*24)/([1]!Tabela145[[#This Row],[MEDIA DE VENDA]]/30),"")</f>
        <v>1440</v>
      </c>
      <c r="I43" s="13" t="s">
        <v>22</v>
      </c>
      <c r="J43" s="13">
        <v>90</v>
      </c>
      <c r="K43" s="13" t="s">
        <v>59</v>
      </c>
      <c r="L43" s="13" t="s">
        <v>91</v>
      </c>
    </row>
    <row r="44" spans="1:12" x14ac:dyDescent="0.2">
      <c r="A44" s="6">
        <v>50</v>
      </c>
      <c r="B44" s="7" t="str">
        <f t="shared" si="0"/>
        <v>1233</v>
      </c>
      <c r="C44" s="7">
        <v>1233</v>
      </c>
      <c r="D44" s="7" t="s">
        <v>12</v>
      </c>
      <c r="E44" s="8" t="s">
        <v>92</v>
      </c>
      <c r="F44" s="10">
        <v>5000</v>
      </c>
      <c r="G44" s="16">
        <v>11000</v>
      </c>
      <c r="H44" s="10">
        <f>IFERROR(([1]!Tabela145[[#This Row],[CONTAGEM]])/([1]!Tabela145[[#This Row],[MEDIA DE VENDA]]/30),"")</f>
        <v>60</v>
      </c>
      <c r="I44" s="8" t="s">
        <v>26</v>
      </c>
      <c r="J44" s="8">
        <v>120</v>
      </c>
      <c r="K44" s="8" t="s">
        <v>30</v>
      </c>
      <c r="L44" s="8" t="s">
        <v>93</v>
      </c>
    </row>
    <row r="45" spans="1:12" x14ac:dyDescent="0.2">
      <c r="A45" s="11">
        <v>90</v>
      </c>
      <c r="B45" s="7" t="str">
        <f t="shared" si="0"/>
        <v>52118</v>
      </c>
      <c r="C45" s="12">
        <v>521</v>
      </c>
      <c r="D45" s="12">
        <v>18</v>
      </c>
      <c r="E45" s="13" t="s">
        <v>94</v>
      </c>
      <c r="F45" s="15">
        <v>21326</v>
      </c>
      <c r="G45" s="14">
        <v>60701</v>
      </c>
      <c r="H45" s="15">
        <f>IFERROR(([1]!Tabela145[[#This Row],[CONTAGEM]])/([1]!Tabela145[[#This Row],[MEDIA DE VENDA]]/30),"")</f>
        <v>1.875</v>
      </c>
      <c r="I45" s="13" t="s">
        <v>26</v>
      </c>
      <c r="J45" s="13">
        <v>900</v>
      </c>
      <c r="K45" s="13" t="s">
        <v>59</v>
      </c>
      <c r="L45" s="13" t="s">
        <v>85</v>
      </c>
    </row>
    <row r="46" spans="1:12" x14ac:dyDescent="0.2">
      <c r="A46" s="6">
        <v>7</v>
      </c>
      <c r="B46" s="7" t="str">
        <f t="shared" si="0"/>
        <v>1626</v>
      </c>
      <c r="C46" s="7">
        <v>1626</v>
      </c>
      <c r="D46" s="7" t="s">
        <v>12</v>
      </c>
      <c r="E46" s="8" t="s">
        <v>95</v>
      </c>
      <c r="F46" s="10" t="s">
        <v>12</v>
      </c>
      <c r="G46" s="16">
        <v>3208</v>
      </c>
      <c r="H46" s="10">
        <f>IFERROR(([1]!Tabela145[[#This Row],[CONTAGEM]]*12)/([1]!Tabela145[[#This Row],[MEDIA DE VENDA]]/30),"")</f>
        <v>792</v>
      </c>
      <c r="I46" s="8" t="s">
        <v>22</v>
      </c>
      <c r="J46" s="8">
        <v>240</v>
      </c>
      <c r="K46" s="8" t="s">
        <v>15</v>
      </c>
      <c r="L46" s="8"/>
    </row>
    <row r="47" spans="1:12" x14ac:dyDescent="0.2">
      <c r="A47" s="11">
        <v>35</v>
      </c>
      <c r="B47" s="7" t="str">
        <f t="shared" si="0"/>
        <v>1635</v>
      </c>
      <c r="C47" s="12">
        <v>1635</v>
      </c>
      <c r="D47" s="12" t="s">
        <v>12</v>
      </c>
      <c r="E47" s="13" t="s">
        <v>96</v>
      </c>
      <c r="F47" s="9">
        <v>2000</v>
      </c>
      <c r="G47" s="14">
        <v>5000</v>
      </c>
      <c r="H47" s="15">
        <f>IFERROR(([1]!Tabela145[[#This Row],[CONTAGEM]])/([1]!Tabela145[[#This Row],[MEDIA DE VENDA]]/30),"")</f>
        <v>85.390134108599824</v>
      </c>
      <c r="I47" s="13" t="s">
        <v>14</v>
      </c>
      <c r="J47" s="13">
        <v>50</v>
      </c>
      <c r="K47" s="13" t="s">
        <v>15</v>
      </c>
      <c r="L47" s="13"/>
    </row>
    <row r="48" spans="1:12" x14ac:dyDescent="0.2">
      <c r="A48" s="6">
        <v>49</v>
      </c>
      <c r="B48" s="7" t="str">
        <f t="shared" si="0"/>
        <v>573</v>
      </c>
      <c r="C48" s="7">
        <v>573</v>
      </c>
      <c r="D48" s="7" t="s">
        <v>12</v>
      </c>
      <c r="E48" s="8" t="s">
        <v>97</v>
      </c>
      <c r="F48" s="10">
        <v>4000</v>
      </c>
      <c r="G48" s="16">
        <v>11000</v>
      </c>
      <c r="H48" s="10" t="str">
        <f>IFERROR(([1]!Tabela145[[#This Row],[CONTAGEM]])/([1]!Tabela145[[#This Row],[MEDIA DE VENDA]]/30),"")</f>
        <v/>
      </c>
      <c r="I48" s="8" t="s">
        <v>26</v>
      </c>
      <c r="J48" s="8">
        <v>500</v>
      </c>
      <c r="K48" s="8" t="s">
        <v>30</v>
      </c>
      <c r="L48" s="8" t="s">
        <v>64</v>
      </c>
    </row>
    <row r="49" spans="1:12" x14ac:dyDescent="0.2">
      <c r="A49" s="11">
        <v>106</v>
      </c>
      <c r="B49" s="7" t="str">
        <f t="shared" si="0"/>
        <v>475</v>
      </c>
      <c r="C49" s="12">
        <v>475</v>
      </c>
      <c r="D49" s="12" t="s">
        <v>12</v>
      </c>
      <c r="E49" s="13" t="s">
        <v>98</v>
      </c>
      <c r="F49" s="15">
        <v>3000</v>
      </c>
      <c r="G49" s="14">
        <v>3481</v>
      </c>
      <c r="H49" s="15">
        <f>IFERROR(([1]!Tabela145[[#This Row],[CONTAGEM]])/([1]!Tabela145[[#This Row],[MEDIA DE VENDA]]/30),"")</f>
        <v>75</v>
      </c>
      <c r="I49" s="13" t="s">
        <v>48</v>
      </c>
      <c r="J49" s="13">
        <v>4000</v>
      </c>
      <c r="K49" s="13" t="s">
        <v>18</v>
      </c>
      <c r="L49" s="13" t="s">
        <v>18</v>
      </c>
    </row>
    <row r="50" spans="1:12" x14ac:dyDescent="0.2">
      <c r="A50" s="6">
        <v>79</v>
      </c>
      <c r="B50" s="7" t="str">
        <f t="shared" si="0"/>
        <v>4712032</v>
      </c>
      <c r="C50" s="7">
        <v>471</v>
      </c>
      <c r="D50" s="7">
        <v>2032</v>
      </c>
      <c r="E50" s="8" t="s">
        <v>99</v>
      </c>
      <c r="F50" s="10">
        <v>66315.416666666672</v>
      </c>
      <c r="G50" s="16">
        <v>281188</v>
      </c>
      <c r="H50" s="10">
        <f>IFERROR(([1]!Tabela145[[#This Row],[CONTAGEM]])/([1]!Tabela145[[#This Row],[MEDIA DE VENDA]]/30),"")</f>
        <v>82.5</v>
      </c>
      <c r="I50" s="8" t="s">
        <v>26</v>
      </c>
      <c r="J50" s="8">
        <v>450</v>
      </c>
      <c r="K50" s="8" t="s">
        <v>59</v>
      </c>
      <c r="L50" s="8" t="s">
        <v>100</v>
      </c>
    </row>
    <row r="51" spans="1:12" x14ac:dyDescent="0.2">
      <c r="A51" s="11">
        <v>16</v>
      </c>
      <c r="B51" s="7" t="str">
        <f t="shared" si="0"/>
        <v>17147000</v>
      </c>
      <c r="C51" s="12">
        <v>1714</v>
      </c>
      <c r="D51" s="12">
        <v>7000</v>
      </c>
      <c r="E51" s="13" t="s">
        <v>101</v>
      </c>
      <c r="F51" s="15">
        <v>30000</v>
      </c>
      <c r="G51" s="14">
        <v>2600</v>
      </c>
      <c r="H51" s="15">
        <f>IFERROR(([1]!Tabela145[[#This Row],[CONTAGEM]]*24)/([1]!Tabela145[[#This Row],[MEDIA DE VENDA]]/30),"")</f>
        <v>835.44</v>
      </c>
      <c r="I51" s="13" t="s">
        <v>22</v>
      </c>
      <c r="J51" s="13">
        <v>90</v>
      </c>
      <c r="K51" s="13" t="s">
        <v>59</v>
      </c>
      <c r="L51" s="13" t="s">
        <v>102</v>
      </c>
    </row>
    <row r="52" spans="1:12" x14ac:dyDescent="0.2">
      <c r="A52" s="6">
        <v>96</v>
      </c>
      <c r="B52" s="7" t="str">
        <f t="shared" si="0"/>
        <v>14155562</v>
      </c>
      <c r="C52" s="7">
        <v>1415</v>
      </c>
      <c r="D52" s="7">
        <v>5562</v>
      </c>
      <c r="E52" s="8" t="s">
        <v>103</v>
      </c>
      <c r="F52" s="10">
        <v>82342</v>
      </c>
      <c r="G52" s="16">
        <v>178997</v>
      </c>
      <c r="H52" s="10">
        <f>IFERROR(([1]!Tabela145[[#This Row],[CONTAGEM]])/([1]!Tabela145[[#This Row],[MEDIA DE VENDA]]/30),"")</f>
        <v>127.20481034450259</v>
      </c>
      <c r="I52" s="8" t="s">
        <v>26</v>
      </c>
      <c r="J52" s="8">
        <v>90</v>
      </c>
      <c r="K52" s="8" t="s">
        <v>59</v>
      </c>
      <c r="L52" s="8" t="s">
        <v>104</v>
      </c>
    </row>
    <row r="53" spans="1:12" x14ac:dyDescent="0.2">
      <c r="A53" s="11">
        <v>120</v>
      </c>
      <c r="B53" s="7" t="str">
        <f t="shared" si="0"/>
        <v>1538</v>
      </c>
      <c r="C53" s="12">
        <v>1538</v>
      </c>
      <c r="D53" s="12" t="s">
        <v>12</v>
      </c>
      <c r="E53" s="13" t="s">
        <v>105</v>
      </c>
      <c r="F53" s="15">
        <v>2000</v>
      </c>
      <c r="G53" s="14">
        <v>6122</v>
      </c>
      <c r="H53" s="15">
        <f>IFERROR(([1]!Tabela145[[#This Row],[CONTAGEM]])/([1]!Tabela145[[#This Row],[MEDIA DE VENDA]]/30),"")</f>
        <v>2.6</v>
      </c>
      <c r="I53" s="13" t="s">
        <v>48</v>
      </c>
      <c r="J53" s="13">
        <v>75</v>
      </c>
      <c r="K53" s="13" t="s">
        <v>45</v>
      </c>
      <c r="L53" s="13"/>
    </row>
    <row r="54" spans="1:12" x14ac:dyDescent="0.2">
      <c r="A54" s="6">
        <v>100</v>
      </c>
      <c r="B54" s="7" t="str">
        <f t="shared" si="0"/>
        <v>14165549</v>
      </c>
      <c r="C54" s="7">
        <v>1416</v>
      </c>
      <c r="D54" s="7">
        <v>5549</v>
      </c>
      <c r="E54" s="8" t="s">
        <v>106</v>
      </c>
      <c r="F54" s="10">
        <v>40926</v>
      </c>
      <c r="G54" s="16">
        <v>120800</v>
      </c>
      <c r="H54" s="10">
        <f>IFERROR(([1]!Tabela145[[#This Row],[CONTAGEM]])/([1]!Tabela145[[#This Row],[MEDIA DE VENDA]]/30),"")</f>
        <v>65.214714240606256</v>
      </c>
      <c r="I54" s="8" t="s">
        <v>26</v>
      </c>
      <c r="J54" s="8">
        <v>90</v>
      </c>
      <c r="K54" s="8" t="s">
        <v>59</v>
      </c>
      <c r="L54" s="8" t="s">
        <v>107</v>
      </c>
    </row>
    <row r="55" spans="1:12" x14ac:dyDescent="0.2">
      <c r="A55" s="11">
        <v>80</v>
      </c>
      <c r="B55" s="7" t="str">
        <f t="shared" si="0"/>
        <v>12935188</v>
      </c>
      <c r="C55" s="12">
        <v>1293</v>
      </c>
      <c r="D55" s="12">
        <v>5188</v>
      </c>
      <c r="E55" s="13" t="s">
        <v>108</v>
      </c>
      <c r="F55" s="15">
        <v>31064.333333333332</v>
      </c>
      <c r="G55" s="14">
        <v>55000</v>
      </c>
      <c r="H55" s="15">
        <f>IFERROR(([1]!Tabela145[[#This Row],[CONTAGEM]])/([1]!Tabela145[[#This Row],[MEDIA DE VENDA]]/30),"")</f>
        <v>91.83</v>
      </c>
      <c r="I55" s="13" t="s">
        <v>26</v>
      </c>
      <c r="J55" s="13">
        <v>450</v>
      </c>
      <c r="K55" s="13" t="s">
        <v>59</v>
      </c>
      <c r="L55" s="13" t="s">
        <v>46</v>
      </c>
    </row>
    <row r="56" spans="1:12" x14ac:dyDescent="0.2">
      <c r="A56" s="6">
        <v>39</v>
      </c>
      <c r="B56" s="7" t="str">
        <f t="shared" si="0"/>
        <v>1611</v>
      </c>
      <c r="C56" s="7">
        <v>1611</v>
      </c>
      <c r="D56" s="7" t="s">
        <v>12</v>
      </c>
      <c r="E56" s="8" t="s">
        <v>109</v>
      </c>
      <c r="F56" s="9">
        <v>2000</v>
      </c>
      <c r="G56" s="16">
        <v>1400</v>
      </c>
      <c r="H56" s="10">
        <f>IFERROR(([1]!Tabela145[[#This Row],[CONTAGEM]])/([1]!Tabela145[[#This Row],[MEDIA DE VENDA]]/30),"")</f>
        <v>88.550065972731275</v>
      </c>
      <c r="I56" s="8" t="s">
        <v>26</v>
      </c>
      <c r="J56" s="8">
        <v>240</v>
      </c>
      <c r="K56" s="8" t="s">
        <v>15</v>
      </c>
      <c r="L56" s="8" t="s">
        <v>16</v>
      </c>
    </row>
    <row r="57" spans="1:12" x14ac:dyDescent="0.2">
      <c r="A57" s="11">
        <v>51</v>
      </c>
      <c r="B57" s="7" t="str">
        <f t="shared" si="0"/>
        <v>1223</v>
      </c>
      <c r="C57" s="12">
        <v>1223</v>
      </c>
      <c r="D57" s="12" t="s">
        <v>12</v>
      </c>
      <c r="E57" s="13" t="s">
        <v>110</v>
      </c>
      <c r="F57" s="15">
        <v>4000</v>
      </c>
      <c r="G57" s="14">
        <v>13000</v>
      </c>
      <c r="H57" s="15">
        <f>IFERROR(([1]!Tabela145[[#This Row],[CONTAGEM]])/([1]!Tabela145[[#This Row],[MEDIA DE VENDA]]/30),"")</f>
        <v>53.115577350230176</v>
      </c>
      <c r="I57" s="13" t="s">
        <v>26</v>
      </c>
      <c r="J57" s="13">
        <v>500</v>
      </c>
      <c r="K57" s="13" t="s">
        <v>30</v>
      </c>
      <c r="L57" s="13" t="s">
        <v>93</v>
      </c>
    </row>
    <row r="58" spans="1:12" x14ac:dyDescent="0.2">
      <c r="A58" s="6">
        <v>73</v>
      </c>
      <c r="B58" s="7" t="str">
        <f t="shared" si="0"/>
        <v>5119</v>
      </c>
      <c r="C58" s="7">
        <v>511</v>
      </c>
      <c r="D58" s="7">
        <v>9</v>
      </c>
      <c r="E58" s="8" t="s">
        <v>111</v>
      </c>
      <c r="F58" s="10">
        <v>8726</v>
      </c>
      <c r="G58" s="16">
        <v>34400</v>
      </c>
      <c r="H58" s="10">
        <f>IFERROR(([1]!Tabela145[[#This Row],[CONTAGEM]])/([1]!Tabela145[[#This Row],[MEDIA DE VENDA]]/30),"")</f>
        <v>21</v>
      </c>
      <c r="I58" s="8" t="s">
        <v>26</v>
      </c>
      <c r="J58" s="8">
        <v>450</v>
      </c>
      <c r="K58" s="8" t="s">
        <v>59</v>
      </c>
      <c r="L58" s="8" t="s">
        <v>79</v>
      </c>
    </row>
    <row r="59" spans="1:12" x14ac:dyDescent="0.2">
      <c r="A59" s="11">
        <v>56</v>
      </c>
      <c r="B59" s="7" t="str">
        <f t="shared" si="0"/>
        <v>1500</v>
      </c>
      <c r="C59" s="12">
        <v>1500</v>
      </c>
      <c r="D59" s="12" t="s">
        <v>12</v>
      </c>
      <c r="E59" s="13" t="s">
        <v>112</v>
      </c>
      <c r="F59" s="15">
        <v>2000</v>
      </c>
      <c r="G59" s="14">
        <v>6800</v>
      </c>
      <c r="H59" s="15">
        <f>IFERROR(([1]!Tabela145[[#This Row],[CONTAGEM]])/([1]!Tabela145[[#This Row],[MEDIA DE VENDA]]/30),"")</f>
        <v>97.5</v>
      </c>
      <c r="I59" s="13" t="s">
        <v>26</v>
      </c>
      <c r="J59" s="13">
        <v>90</v>
      </c>
      <c r="K59" s="13" t="s">
        <v>27</v>
      </c>
      <c r="L59" s="13" t="s">
        <v>113</v>
      </c>
    </row>
    <row r="60" spans="1:12" x14ac:dyDescent="0.2">
      <c r="A60" s="6">
        <v>93</v>
      </c>
      <c r="B60" s="7" t="str">
        <f t="shared" si="0"/>
        <v>4938</v>
      </c>
      <c r="C60" s="7">
        <v>493</v>
      </c>
      <c r="D60" s="7">
        <v>8</v>
      </c>
      <c r="E60" s="8" t="s">
        <v>114</v>
      </c>
      <c r="F60" s="10">
        <v>134736</v>
      </c>
      <c r="G60" s="16">
        <v>410495</v>
      </c>
      <c r="H60" s="10">
        <f>IFERROR(([1]!Tabela145[[#This Row],[CONTAGEM]])/([1]!Tabela145[[#This Row],[MEDIA DE VENDA]]/30),"")</f>
        <v>118.26724730689892</v>
      </c>
      <c r="I60" s="8" t="s">
        <v>26</v>
      </c>
      <c r="J60" s="8">
        <v>90</v>
      </c>
      <c r="K60" s="8" t="s">
        <v>59</v>
      </c>
      <c r="L60" s="8" t="s">
        <v>79</v>
      </c>
    </row>
    <row r="61" spans="1:12" x14ac:dyDescent="0.2">
      <c r="A61" s="11">
        <v>38</v>
      </c>
      <c r="B61" s="7" t="str">
        <f t="shared" si="0"/>
        <v>1502</v>
      </c>
      <c r="C61" s="12">
        <v>1502</v>
      </c>
      <c r="D61" s="12" t="s">
        <v>12</v>
      </c>
      <c r="E61" s="13" t="s">
        <v>115</v>
      </c>
      <c r="F61" s="9">
        <v>2000</v>
      </c>
      <c r="G61" s="14">
        <v>7000</v>
      </c>
      <c r="H61" s="15">
        <f>IFERROR(([1]!Tabela145[[#This Row],[CONTAGEM]])/([1]!Tabela145[[#This Row],[MEDIA DE VENDA]]/30),"")</f>
        <v>101.99999999999999</v>
      </c>
      <c r="I61" s="13" t="s">
        <v>26</v>
      </c>
      <c r="J61" s="13">
        <v>120</v>
      </c>
      <c r="K61" s="13" t="s">
        <v>20</v>
      </c>
      <c r="L61" s="13" t="s">
        <v>116</v>
      </c>
    </row>
    <row r="62" spans="1:12" x14ac:dyDescent="0.2">
      <c r="A62" s="6">
        <v>74</v>
      </c>
      <c r="B62" s="7" t="str">
        <f t="shared" si="0"/>
        <v>51213</v>
      </c>
      <c r="C62" s="7">
        <v>512</v>
      </c>
      <c r="D62" s="7">
        <v>13</v>
      </c>
      <c r="E62" s="8" t="s">
        <v>117</v>
      </c>
      <c r="F62" s="10">
        <v>12572</v>
      </c>
      <c r="G62" s="16">
        <v>33214</v>
      </c>
      <c r="H62" s="10">
        <f>IFERROR(([1]!Tabela145[[#This Row],[CONTAGEM]])/([1]!Tabela145[[#This Row],[MEDIA DE VENDA]]/30),"")</f>
        <v>91.399848592803707</v>
      </c>
      <c r="I62" s="8" t="s">
        <v>26</v>
      </c>
      <c r="J62" s="8">
        <v>450</v>
      </c>
      <c r="K62" s="8" t="s">
        <v>59</v>
      </c>
      <c r="L62" s="8" t="s">
        <v>73</v>
      </c>
    </row>
    <row r="63" spans="1:12" x14ac:dyDescent="0.2">
      <c r="A63" s="11">
        <v>77</v>
      </c>
      <c r="B63" s="7" t="str">
        <f t="shared" si="0"/>
        <v>14185554</v>
      </c>
      <c r="C63" s="12">
        <v>1418</v>
      </c>
      <c r="D63" s="12">
        <v>5554</v>
      </c>
      <c r="E63" s="13" t="s">
        <v>118</v>
      </c>
      <c r="F63" s="15">
        <v>6589.5</v>
      </c>
      <c r="G63" s="14">
        <v>16508</v>
      </c>
      <c r="H63" s="15">
        <f>IFERROR(([1]!Tabela145[[#This Row],[CONTAGEM]])/([1]!Tabela145[[#This Row],[MEDIA DE VENDA]]/30),"")</f>
        <v>104.99999999999999</v>
      </c>
      <c r="I63" s="13" t="s">
        <v>26</v>
      </c>
      <c r="J63" s="13">
        <v>450</v>
      </c>
      <c r="K63" s="13" t="s">
        <v>59</v>
      </c>
      <c r="L63" s="13" t="s">
        <v>119</v>
      </c>
    </row>
    <row r="64" spans="1:12" x14ac:dyDescent="0.2">
      <c r="A64" s="6">
        <v>45</v>
      </c>
      <c r="B64" s="7" t="str">
        <f t="shared" si="0"/>
        <v>574</v>
      </c>
      <c r="C64" s="7">
        <v>574</v>
      </c>
      <c r="D64" s="7" t="s">
        <v>12</v>
      </c>
      <c r="E64" s="8" t="s">
        <v>120</v>
      </c>
      <c r="F64" s="10">
        <v>4000</v>
      </c>
      <c r="G64" s="16">
        <v>15000</v>
      </c>
      <c r="H64" s="10">
        <f>IFERROR(([1]!Tabela145[[#This Row],[CONTAGEM]])/([1]!Tabela145[[#This Row],[MEDIA DE VENDA]]/30),"")</f>
        <v>79.257079223671653</v>
      </c>
      <c r="I64" s="8" t="s">
        <v>26</v>
      </c>
      <c r="J64" s="8">
        <v>500</v>
      </c>
      <c r="K64" s="8" t="s">
        <v>30</v>
      </c>
      <c r="L64" s="8" t="s">
        <v>89</v>
      </c>
    </row>
    <row r="65" spans="1:12" x14ac:dyDescent="0.2">
      <c r="A65" s="11">
        <v>124</v>
      </c>
      <c r="B65" s="7" t="str">
        <f t="shared" si="0"/>
        <v>1636</v>
      </c>
      <c r="C65" s="12">
        <v>1636</v>
      </c>
      <c r="D65" s="12" t="s">
        <v>12</v>
      </c>
      <c r="E65" s="13" t="s">
        <v>121</v>
      </c>
      <c r="F65" s="15">
        <v>1000</v>
      </c>
      <c r="G65" s="14">
        <v>4000</v>
      </c>
      <c r="H65" s="15">
        <f>IFERROR(([1]!Tabela145[[#This Row],[CONTAGEM]])/([1]!Tabela145[[#This Row],[MEDIA DE VENDA]]/30),"")</f>
        <v>75.155929888458914</v>
      </c>
      <c r="I65" s="13" t="s">
        <v>48</v>
      </c>
      <c r="J65" s="13">
        <v>50</v>
      </c>
      <c r="K65" s="13" t="s">
        <v>15</v>
      </c>
      <c r="L65" s="13"/>
    </row>
    <row r="66" spans="1:12" x14ac:dyDescent="0.2">
      <c r="A66" s="6">
        <v>125</v>
      </c>
      <c r="B66" s="7" t="str">
        <f t="shared" si="0"/>
        <v>1637</v>
      </c>
      <c r="C66" s="7">
        <v>1637</v>
      </c>
      <c r="D66" s="7" t="s">
        <v>12</v>
      </c>
      <c r="E66" s="8" t="s">
        <v>122</v>
      </c>
      <c r="F66" s="10">
        <v>1000</v>
      </c>
      <c r="G66" s="16">
        <v>4000</v>
      </c>
      <c r="H66" s="10">
        <f>IFERROR(([1]!Tabela145[[#This Row],[CONTAGEM]])/([1]!Tabela145[[#This Row],[MEDIA DE VENDA]]/30),"")</f>
        <v>112.49999999999999</v>
      </c>
      <c r="I66" s="8" t="s">
        <v>48</v>
      </c>
      <c r="J66" s="8">
        <v>50</v>
      </c>
      <c r="K66" s="8" t="s">
        <v>15</v>
      </c>
      <c r="L66" s="8"/>
    </row>
    <row r="67" spans="1:12" x14ac:dyDescent="0.2">
      <c r="A67" s="11">
        <v>131</v>
      </c>
      <c r="B67" s="7" t="str">
        <f t="shared" ref="B67:B130" si="1">CONCATENATE(C67,D67)</f>
        <v/>
      </c>
      <c r="C67" s="12"/>
      <c r="D67" s="12"/>
      <c r="E67" s="13" t="s">
        <v>123</v>
      </c>
      <c r="F67" s="15">
        <v>4000</v>
      </c>
      <c r="G67" s="14"/>
      <c r="H67" s="15">
        <f>IFERROR(([1]!Tabela145[[#This Row],[CONTAGEM]])/([1]!Tabela145[[#This Row],[MEDIA DE VENDA]]/30),"")</f>
        <v>119.99999999999999</v>
      </c>
      <c r="I67" s="13" t="s">
        <v>26</v>
      </c>
      <c r="J67" s="18"/>
      <c r="K67" s="19" t="s">
        <v>30</v>
      </c>
      <c r="L67" s="15" t="s">
        <v>89</v>
      </c>
    </row>
    <row r="68" spans="1:12" x14ac:dyDescent="0.2">
      <c r="A68" s="6">
        <v>15</v>
      </c>
      <c r="B68" s="7" t="str">
        <f t="shared" si="1"/>
        <v>1716</v>
      </c>
      <c r="C68" s="7">
        <v>1716</v>
      </c>
      <c r="D68" s="7" t="s">
        <v>12</v>
      </c>
      <c r="E68" s="8" t="s">
        <v>124</v>
      </c>
      <c r="F68" s="10">
        <v>40000</v>
      </c>
      <c r="G68" s="16">
        <v>5666</v>
      </c>
      <c r="H68" s="10">
        <f>IFERROR(([1]!Tabela145[[#This Row],[CONTAGEM]]*24)/([1]!Tabela145[[#This Row],[MEDIA DE VENDA]]/30),"")</f>
        <v>2880</v>
      </c>
      <c r="I68" s="8" t="s">
        <v>22</v>
      </c>
      <c r="J68" s="8">
        <v>90</v>
      </c>
      <c r="K68" s="8" t="s">
        <v>59</v>
      </c>
      <c r="L68" s="8" t="s">
        <v>125</v>
      </c>
    </row>
    <row r="69" spans="1:12" x14ac:dyDescent="0.2">
      <c r="A69" s="11">
        <v>78</v>
      </c>
      <c r="B69" s="7" t="str">
        <f t="shared" si="1"/>
        <v>14195553</v>
      </c>
      <c r="C69" s="12">
        <v>1419</v>
      </c>
      <c r="D69" s="12">
        <v>5553</v>
      </c>
      <c r="E69" s="13" t="s">
        <v>126</v>
      </c>
      <c r="F69" s="15">
        <v>9525.75</v>
      </c>
      <c r="G69" s="14">
        <v>51779</v>
      </c>
      <c r="H69" s="15">
        <f>IFERROR(([1]!Tabela145[[#This Row],[CONTAGEM]])/([1]!Tabela145[[#This Row],[MEDIA DE VENDA]]/30),"")</f>
        <v>0</v>
      </c>
      <c r="I69" s="13" t="s">
        <v>26</v>
      </c>
      <c r="J69" s="13">
        <v>450</v>
      </c>
      <c r="K69" s="13" t="s">
        <v>59</v>
      </c>
      <c r="L69" s="13" t="s">
        <v>107</v>
      </c>
    </row>
    <row r="70" spans="1:12" x14ac:dyDescent="0.2">
      <c r="A70" s="6">
        <v>92</v>
      </c>
      <c r="B70" s="7" t="str">
        <f t="shared" si="1"/>
        <v>4925</v>
      </c>
      <c r="C70" s="7">
        <v>492</v>
      </c>
      <c r="D70" s="7">
        <v>5</v>
      </c>
      <c r="E70" s="8" t="s">
        <v>127</v>
      </c>
      <c r="F70" s="10">
        <v>50409.166666666664</v>
      </c>
      <c r="G70" s="16">
        <v>183260</v>
      </c>
      <c r="H70" s="10">
        <f>IFERROR(([1]!Tabela145[[#This Row],[CONTAGEM]])/([1]!Tabela145[[#This Row],[MEDIA DE VENDA]]/30),"")</f>
        <v>4.2495000000000003</v>
      </c>
      <c r="I70" s="8" t="s">
        <v>26</v>
      </c>
      <c r="J70" s="8">
        <v>90</v>
      </c>
      <c r="K70" s="8" t="s">
        <v>59</v>
      </c>
      <c r="L70" s="8" t="s">
        <v>128</v>
      </c>
    </row>
    <row r="71" spans="1:12" x14ac:dyDescent="0.2">
      <c r="A71" s="11">
        <v>8</v>
      </c>
      <c r="B71" s="7" t="str">
        <f t="shared" si="1"/>
        <v>1744</v>
      </c>
      <c r="C71" s="12">
        <v>1744</v>
      </c>
      <c r="D71" s="12" t="s">
        <v>12</v>
      </c>
      <c r="E71" s="13" t="s">
        <v>129</v>
      </c>
      <c r="F71" s="15">
        <v>170000</v>
      </c>
      <c r="G71" s="14">
        <v>7473</v>
      </c>
      <c r="H71" s="15">
        <f>IFERROR(([1]!Tabela145[[#This Row],[CONTAGEM]]*12)/([1]!Tabela145[[#This Row],[MEDIA DE VENDA]]/30),"")</f>
        <v>1956.8474923234392</v>
      </c>
      <c r="I71" s="13" t="s">
        <v>22</v>
      </c>
      <c r="J71" s="13">
        <v>450</v>
      </c>
      <c r="K71" s="13" t="s">
        <v>59</v>
      </c>
      <c r="L71" s="13"/>
    </row>
    <row r="72" spans="1:12" x14ac:dyDescent="0.2">
      <c r="A72" s="6">
        <v>121</v>
      </c>
      <c r="B72" s="7" t="str">
        <f t="shared" si="1"/>
        <v>1541</v>
      </c>
      <c r="C72" s="7">
        <v>1541</v>
      </c>
      <c r="D72" s="7" t="s">
        <v>12</v>
      </c>
      <c r="E72" s="8" t="s">
        <v>130</v>
      </c>
      <c r="F72" s="10">
        <v>5000</v>
      </c>
      <c r="G72" s="16">
        <v>20996</v>
      </c>
      <c r="H72" s="10">
        <f>IFERROR(([1]!Tabela145[[#This Row],[CONTAGEM]])/([1]!Tabela145[[#This Row],[MEDIA DE VENDA]]/30),"")</f>
        <v>109.06349704914781</v>
      </c>
      <c r="I72" s="8" t="s">
        <v>48</v>
      </c>
      <c r="J72" s="8">
        <v>75</v>
      </c>
      <c r="K72" s="8" t="s">
        <v>45</v>
      </c>
      <c r="L72" s="8"/>
    </row>
    <row r="73" spans="1:12" x14ac:dyDescent="0.2">
      <c r="A73" s="11">
        <v>87</v>
      </c>
      <c r="B73" s="7" t="str">
        <f t="shared" si="1"/>
        <v>5187</v>
      </c>
      <c r="C73" s="12">
        <v>518</v>
      </c>
      <c r="D73" s="12">
        <v>7</v>
      </c>
      <c r="E73" s="13" t="s">
        <v>131</v>
      </c>
      <c r="F73" s="15">
        <v>4294</v>
      </c>
      <c r="G73" s="14">
        <v>10164</v>
      </c>
      <c r="H73" s="15">
        <f>IFERROR(([1]!Tabela145[[#This Row],[CONTAGEM]])/([1]!Tabela145[[#This Row],[MEDIA DE VENDA]]/30),"")</f>
        <v>1.3187647058823528</v>
      </c>
      <c r="I73" s="13" t="s">
        <v>26</v>
      </c>
      <c r="J73" s="13">
        <v>900</v>
      </c>
      <c r="K73" s="13" t="s">
        <v>59</v>
      </c>
      <c r="L73" s="13" t="s">
        <v>128</v>
      </c>
    </row>
    <row r="74" spans="1:12" x14ac:dyDescent="0.2">
      <c r="A74" s="6">
        <v>19</v>
      </c>
      <c r="B74" s="7" t="str">
        <f t="shared" si="1"/>
        <v>17177030</v>
      </c>
      <c r="C74" s="7">
        <v>1717</v>
      </c>
      <c r="D74" s="7">
        <v>7030</v>
      </c>
      <c r="E74" s="8" t="s">
        <v>132</v>
      </c>
      <c r="F74" s="10">
        <v>30000</v>
      </c>
      <c r="G74" s="16">
        <v>4578</v>
      </c>
      <c r="H74" s="10">
        <f>IFERROR(([1]!Tabela145[[#This Row],[CONTAGEM]]*24)/([1]!Tabela145[[#This Row],[MEDIA DE VENDA]]/30),"")</f>
        <v>3023.424</v>
      </c>
      <c r="I74" s="8" t="s">
        <v>22</v>
      </c>
      <c r="J74" s="8">
        <v>90</v>
      </c>
      <c r="K74" s="8" t="s">
        <v>59</v>
      </c>
      <c r="L74" s="8" t="s">
        <v>133</v>
      </c>
    </row>
    <row r="75" spans="1:12" x14ac:dyDescent="0.2">
      <c r="A75" s="11">
        <v>57</v>
      </c>
      <c r="B75" s="7" t="str">
        <f t="shared" si="1"/>
        <v>1495</v>
      </c>
      <c r="C75" s="12">
        <v>1495</v>
      </c>
      <c r="D75" s="12" t="s">
        <v>12</v>
      </c>
      <c r="E75" s="13" t="s">
        <v>134</v>
      </c>
      <c r="F75" s="15">
        <v>2000</v>
      </c>
      <c r="G75" s="14">
        <v>8800</v>
      </c>
      <c r="H75" s="15">
        <f>IFERROR(([1]!Tabela145[[#This Row],[CONTAGEM]])/([1]!Tabela145[[#This Row],[MEDIA DE VENDA]]/30),"")</f>
        <v>71.010712622263625</v>
      </c>
      <c r="I75" s="13" t="s">
        <v>26</v>
      </c>
      <c r="J75" s="13">
        <v>90</v>
      </c>
      <c r="K75" s="13" t="s">
        <v>27</v>
      </c>
      <c r="L75" s="13" t="s">
        <v>135</v>
      </c>
    </row>
    <row r="76" spans="1:12" x14ac:dyDescent="0.2">
      <c r="A76" s="6">
        <v>75</v>
      </c>
      <c r="B76" s="7" t="str">
        <f t="shared" si="1"/>
        <v>51317</v>
      </c>
      <c r="C76" s="7">
        <v>513</v>
      </c>
      <c r="D76" s="7">
        <v>17</v>
      </c>
      <c r="E76" s="8" t="s">
        <v>136</v>
      </c>
      <c r="F76" s="10">
        <v>20127</v>
      </c>
      <c r="G76" s="16">
        <v>52755</v>
      </c>
      <c r="H76" s="10">
        <f>IFERROR(([1]!Tabela145[[#This Row],[CONTAGEM]])/([1]!Tabela145[[#This Row],[MEDIA DE VENDA]]/30),"")</f>
        <v>4.5780000000000003</v>
      </c>
      <c r="I76" s="8" t="s">
        <v>26</v>
      </c>
      <c r="J76" s="8">
        <v>450</v>
      </c>
      <c r="K76" s="8" t="s">
        <v>59</v>
      </c>
      <c r="L76" s="8" t="s">
        <v>85</v>
      </c>
    </row>
    <row r="77" spans="1:12" x14ac:dyDescent="0.2">
      <c r="A77" s="11">
        <v>104</v>
      </c>
      <c r="B77" s="7" t="str">
        <f t="shared" si="1"/>
        <v>12915186</v>
      </c>
      <c r="C77" s="12">
        <v>1291</v>
      </c>
      <c r="D77" s="12">
        <v>5186</v>
      </c>
      <c r="E77" s="13" t="s">
        <v>137</v>
      </c>
      <c r="F77" s="15">
        <v>175011</v>
      </c>
      <c r="G77" s="14">
        <v>741616</v>
      </c>
      <c r="H77" s="15">
        <f>IFERROR(([1]!Tabela145[[#This Row],[CONTAGEM]])/([1]!Tabela145[[#This Row],[MEDIA DE VENDA]]/30),"")</f>
        <v>132</v>
      </c>
      <c r="I77" s="13" t="s">
        <v>26</v>
      </c>
      <c r="J77" s="13">
        <v>90</v>
      </c>
      <c r="K77" s="13" t="s">
        <v>59</v>
      </c>
      <c r="L77" s="13" t="s">
        <v>46</v>
      </c>
    </row>
    <row r="78" spans="1:12" x14ac:dyDescent="0.2">
      <c r="A78" s="6">
        <v>88</v>
      </c>
      <c r="B78" s="7" t="str">
        <f t="shared" si="1"/>
        <v>51910</v>
      </c>
      <c r="C78" s="7">
        <v>519</v>
      </c>
      <c r="D78" s="7">
        <v>10</v>
      </c>
      <c r="E78" s="8" t="s">
        <v>138</v>
      </c>
      <c r="F78" s="10">
        <v>12153</v>
      </c>
      <c r="G78" s="16">
        <v>28460</v>
      </c>
      <c r="H78" s="10">
        <f>IFERROR(([1]!Tabela145[[#This Row],[CONTAGEM]])/([1]!Tabela145[[#This Row],[MEDIA DE VENDA]]/30),"")</f>
        <v>78.633179311372785</v>
      </c>
      <c r="I78" s="8" t="s">
        <v>26</v>
      </c>
      <c r="J78" s="8">
        <v>900</v>
      </c>
      <c r="K78" s="8" t="s">
        <v>59</v>
      </c>
      <c r="L78" s="8" t="s">
        <v>79</v>
      </c>
    </row>
    <row r="79" spans="1:12" x14ac:dyDescent="0.2">
      <c r="A79" s="11">
        <v>9</v>
      </c>
      <c r="B79" s="7" t="str">
        <f t="shared" si="1"/>
        <v>1585</v>
      </c>
      <c r="C79" s="12">
        <v>1585</v>
      </c>
      <c r="D79" s="12" t="s">
        <v>12</v>
      </c>
      <c r="E79" s="13" t="s">
        <v>139</v>
      </c>
      <c r="F79" s="15">
        <v>5000</v>
      </c>
      <c r="G79" s="14">
        <v>2397</v>
      </c>
      <c r="H79" s="15">
        <f>IFERROR(([1]!Tabela145[[#This Row],[CONTAGEM]]*12)/([1]!Tabela145[[#This Row],[MEDIA DE VENDA]]/30),"")</f>
        <v>1525.5141676808887</v>
      </c>
      <c r="I79" s="13" t="s">
        <v>22</v>
      </c>
      <c r="J79" s="13">
        <v>70</v>
      </c>
      <c r="K79" s="13" t="s">
        <v>20</v>
      </c>
      <c r="L79" s="13" t="s">
        <v>37</v>
      </c>
    </row>
    <row r="80" spans="1:12" x14ac:dyDescent="0.2">
      <c r="A80" s="6">
        <v>10</v>
      </c>
      <c r="B80" s="7" t="str">
        <f t="shared" si="1"/>
        <v>1589</v>
      </c>
      <c r="C80" s="7">
        <v>1589</v>
      </c>
      <c r="D80" s="7" t="s">
        <v>12</v>
      </c>
      <c r="E80" s="8" t="s">
        <v>140</v>
      </c>
      <c r="F80" s="10">
        <v>19000</v>
      </c>
      <c r="G80" s="16">
        <v>4846</v>
      </c>
      <c r="H80" s="10">
        <f>IFERROR(([1]!Tabela145[[#This Row],[CONTAGEM]]*12)/([1]!Tabela145[[#This Row],[MEDIA DE VENDA]]/30),"")</f>
        <v>843.05109849419887</v>
      </c>
      <c r="I80" s="8" t="s">
        <v>22</v>
      </c>
      <c r="J80" s="8">
        <v>90</v>
      </c>
      <c r="K80" s="8" t="s">
        <v>27</v>
      </c>
      <c r="L80" s="8"/>
    </row>
    <row r="81" spans="1:12" x14ac:dyDescent="0.2">
      <c r="A81" s="11">
        <v>122</v>
      </c>
      <c r="B81" s="7" t="str">
        <f t="shared" si="1"/>
        <v>1540</v>
      </c>
      <c r="C81" s="12">
        <v>1540</v>
      </c>
      <c r="D81" s="12" t="s">
        <v>12</v>
      </c>
      <c r="E81" s="13" t="s">
        <v>141</v>
      </c>
      <c r="F81" s="15">
        <v>2000</v>
      </c>
      <c r="G81" s="14">
        <v>10300</v>
      </c>
      <c r="H81" s="15">
        <f>IFERROR(([1]!Tabela145[[#This Row],[CONTAGEM]])/([1]!Tabela145[[#This Row],[MEDIA DE VENDA]]/30),"")</f>
        <v>14.382000000000001</v>
      </c>
      <c r="I81" s="13" t="s">
        <v>48</v>
      </c>
      <c r="J81" s="13">
        <v>75</v>
      </c>
      <c r="K81" s="13" t="s">
        <v>45</v>
      </c>
      <c r="L81" s="13"/>
    </row>
    <row r="82" spans="1:12" x14ac:dyDescent="0.2">
      <c r="A82" s="6">
        <v>76</v>
      </c>
      <c r="B82" s="7" t="str">
        <f t="shared" si="1"/>
        <v>14175564</v>
      </c>
      <c r="C82" s="7">
        <v>1417</v>
      </c>
      <c r="D82" s="7">
        <v>5564</v>
      </c>
      <c r="E82" s="8" t="s">
        <v>142</v>
      </c>
      <c r="F82" s="10">
        <v>10306</v>
      </c>
      <c r="G82" s="16">
        <v>60845</v>
      </c>
      <c r="H82" s="10">
        <f>IFERROR(([1]!Tabela145[[#This Row],[CONTAGEM]])/([1]!Tabela145[[#This Row],[MEDIA DE VENDA]]/30),"")</f>
        <v>7.6515789473684208</v>
      </c>
      <c r="I82" s="8" t="s">
        <v>26</v>
      </c>
      <c r="J82" s="8">
        <v>450</v>
      </c>
      <c r="K82" s="8" t="s">
        <v>59</v>
      </c>
      <c r="L82" s="8" t="s">
        <v>104</v>
      </c>
    </row>
    <row r="83" spans="1:12" x14ac:dyDescent="0.2">
      <c r="A83" s="11">
        <v>34</v>
      </c>
      <c r="B83" s="7" t="str">
        <f t="shared" si="1"/>
        <v>924</v>
      </c>
      <c r="C83" s="12">
        <v>924</v>
      </c>
      <c r="D83" s="12" t="s">
        <v>12</v>
      </c>
      <c r="E83" s="13" t="s">
        <v>143</v>
      </c>
      <c r="F83" s="9">
        <v>10000</v>
      </c>
      <c r="G83" s="14">
        <v>65000</v>
      </c>
      <c r="H83" s="15">
        <f>IFERROR(([1]!Tabela145[[#This Row],[CONTAGEM]])/([1]!Tabela145[[#This Row],[MEDIA DE VENDA]]/30),"")</f>
        <v>154.5</v>
      </c>
      <c r="I83" s="13" t="s">
        <v>14</v>
      </c>
      <c r="J83" s="13">
        <v>75</v>
      </c>
      <c r="K83" s="13" t="s">
        <v>45</v>
      </c>
      <c r="L83" s="13"/>
    </row>
    <row r="84" spans="1:12" x14ac:dyDescent="0.2">
      <c r="A84" s="6">
        <v>11</v>
      </c>
      <c r="B84" s="7" t="str">
        <f t="shared" si="1"/>
        <v>1628</v>
      </c>
      <c r="C84" s="7">
        <v>1628</v>
      </c>
      <c r="D84" s="7" t="s">
        <v>12</v>
      </c>
      <c r="E84" s="8" t="s">
        <v>144</v>
      </c>
      <c r="F84" s="10">
        <v>2000</v>
      </c>
      <c r="G84" s="16">
        <v>11400</v>
      </c>
      <c r="H84" s="10">
        <f>IFERROR(([1]!Tabela145[[#This Row],[CONTAGEM]]*12)/([1]!Tabela145[[#This Row],[MEDIA DE VENDA]]/30),"")</f>
        <v>2125.3832718804579</v>
      </c>
      <c r="I84" s="8" t="s">
        <v>22</v>
      </c>
      <c r="J84" s="8">
        <v>50</v>
      </c>
      <c r="K84" s="8" t="s">
        <v>15</v>
      </c>
      <c r="L84" s="8" t="s">
        <v>145</v>
      </c>
    </row>
    <row r="85" spans="1:12" x14ac:dyDescent="0.2">
      <c r="A85" s="11">
        <v>13</v>
      </c>
      <c r="B85" s="7" t="str">
        <f t="shared" si="1"/>
        <v>1524</v>
      </c>
      <c r="C85" s="12">
        <v>1524</v>
      </c>
      <c r="D85" s="12" t="s">
        <v>12</v>
      </c>
      <c r="E85" s="13" t="s">
        <v>146</v>
      </c>
      <c r="F85" s="15">
        <v>1000</v>
      </c>
      <c r="G85" s="14">
        <v>5169</v>
      </c>
      <c r="H85" s="15">
        <f>IFERROR(([1]!Tabela145[[#This Row],[CONTAGEM]]*24)/([1]!Tabela145[[#This Row],[MEDIA DE VENDA]]/30),"")</f>
        <v>4680</v>
      </c>
      <c r="I85" s="13" t="s">
        <v>22</v>
      </c>
      <c r="J85" s="13">
        <v>75</v>
      </c>
      <c r="K85" s="13" t="s">
        <v>45</v>
      </c>
      <c r="L85" s="13" t="s">
        <v>147</v>
      </c>
    </row>
    <row r="86" spans="1:12" x14ac:dyDescent="0.2">
      <c r="A86" s="6">
        <v>59</v>
      </c>
      <c r="B86" s="7" t="str">
        <f t="shared" si="1"/>
        <v>1496</v>
      </c>
      <c r="C86" s="7">
        <v>1496</v>
      </c>
      <c r="D86" s="7" t="s">
        <v>12</v>
      </c>
      <c r="E86" s="8" t="s">
        <v>148</v>
      </c>
      <c r="F86" s="10">
        <v>2000</v>
      </c>
      <c r="G86" s="16">
        <v>13800</v>
      </c>
      <c r="H86" s="10">
        <f>IFERROR(([1]!Tabela145[[#This Row],[CONTAGEM]])/([1]!Tabela145[[#This Row],[MEDIA DE VENDA]]/30),"")</f>
        <v>171</v>
      </c>
      <c r="I86" s="8" t="s">
        <v>26</v>
      </c>
      <c r="J86" s="8">
        <v>90</v>
      </c>
      <c r="K86" s="8" t="s">
        <v>27</v>
      </c>
      <c r="L86" s="8" t="s">
        <v>46</v>
      </c>
    </row>
    <row r="87" spans="1:12" x14ac:dyDescent="0.2">
      <c r="A87" s="11">
        <v>68</v>
      </c>
      <c r="B87" s="7" t="str">
        <f t="shared" si="1"/>
        <v>1583</v>
      </c>
      <c r="C87" s="12">
        <v>1583</v>
      </c>
      <c r="D87" s="12" t="s">
        <v>12</v>
      </c>
      <c r="E87" s="13" t="s">
        <v>149</v>
      </c>
      <c r="F87" s="15">
        <v>4000</v>
      </c>
      <c r="G87" s="14">
        <v>23000</v>
      </c>
      <c r="H87" s="15">
        <f>IFERROR(([1]!Tabela145[[#This Row],[CONTAGEM]])/([1]!Tabela145[[#This Row],[MEDIA DE VENDA]]/30),"")</f>
        <v>155.07</v>
      </c>
      <c r="I87" s="13" t="s">
        <v>26</v>
      </c>
      <c r="J87" s="13">
        <v>500</v>
      </c>
      <c r="K87" s="13" t="s">
        <v>20</v>
      </c>
      <c r="L87" s="13" t="s">
        <v>150</v>
      </c>
    </row>
    <row r="88" spans="1:12" x14ac:dyDescent="0.2">
      <c r="A88" s="6">
        <v>12</v>
      </c>
      <c r="B88" s="7" t="str">
        <f t="shared" si="1"/>
        <v>1525</v>
      </c>
      <c r="C88" s="7">
        <v>1525</v>
      </c>
      <c r="D88" s="7" t="s">
        <v>12</v>
      </c>
      <c r="E88" s="8" t="s">
        <v>151</v>
      </c>
      <c r="F88" s="10">
        <v>10000</v>
      </c>
      <c r="G88" s="16">
        <v>14393</v>
      </c>
      <c r="H88" s="10">
        <f>IFERROR(([1]!Tabela145[[#This Row],[CONTAGEM]]*24)/([1]!Tabela145[[#This Row],[MEDIA DE VENDA]]/30),"")</f>
        <v>4968</v>
      </c>
      <c r="I88" s="8" t="s">
        <v>22</v>
      </c>
      <c r="J88" s="8">
        <v>75</v>
      </c>
      <c r="K88" s="8" t="s">
        <v>45</v>
      </c>
      <c r="L88" s="8"/>
    </row>
    <row r="89" spans="1:12" x14ac:dyDescent="0.2">
      <c r="A89" s="11">
        <v>37</v>
      </c>
      <c r="B89" s="7" t="str">
        <f t="shared" si="1"/>
        <v>1324</v>
      </c>
      <c r="C89" s="12">
        <v>1324</v>
      </c>
      <c r="D89" s="12" t="s">
        <v>12</v>
      </c>
      <c r="E89" s="13" t="s">
        <v>152</v>
      </c>
      <c r="F89" s="15">
        <v>2000</v>
      </c>
      <c r="G89" s="14">
        <v>16250</v>
      </c>
      <c r="H89" s="15">
        <f>IFERROR(([1]!Tabela145[[#This Row],[CONTAGEM]])/([1]!Tabela145[[#This Row],[MEDIA DE VENDA]]/30),"")</f>
        <v>172.5</v>
      </c>
      <c r="I89" s="13" t="s">
        <v>23</v>
      </c>
      <c r="J89" s="13"/>
      <c r="K89" s="13" t="s">
        <v>23</v>
      </c>
      <c r="L89" s="13" t="s">
        <v>23</v>
      </c>
    </row>
    <row r="90" spans="1:12" x14ac:dyDescent="0.2">
      <c r="A90" s="6">
        <v>97</v>
      </c>
      <c r="B90" s="7" t="str">
        <f t="shared" si="1"/>
        <v>14235550</v>
      </c>
      <c r="C90" s="7">
        <v>1423</v>
      </c>
      <c r="D90" s="7">
        <v>5550</v>
      </c>
      <c r="E90" s="8" t="s">
        <v>153</v>
      </c>
      <c r="F90" s="10">
        <v>29422</v>
      </c>
      <c r="G90" s="16">
        <v>127393</v>
      </c>
      <c r="H90" s="10">
        <f>IFERROR(([1]!Tabela145[[#This Row],[CONTAGEM]])/([1]!Tabela145[[#This Row],[MEDIA DE VENDA]]/30),"")</f>
        <v>43.179000000000002</v>
      </c>
      <c r="I90" s="8" t="s">
        <v>26</v>
      </c>
      <c r="J90" s="8">
        <v>90</v>
      </c>
      <c r="K90" s="8" t="s">
        <v>59</v>
      </c>
      <c r="L90" s="8" t="s">
        <v>119</v>
      </c>
    </row>
    <row r="91" spans="1:12" x14ac:dyDescent="0.2">
      <c r="A91" s="11">
        <v>53</v>
      </c>
      <c r="B91" s="7" t="str">
        <f t="shared" si="1"/>
        <v>1498</v>
      </c>
      <c r="C91" s="12">
        <v>1498</v>
      </c>
      <c r="D91" s="12" t="s">
        <v>12</v>
      </c>
      <c r="E91" s="13" t="s">
        <v>154</v>
      </c>
      <c r="F91" s="15">
        <v>2000</v>
      </c>
      <c r="G91" s="14">
        <v>12450</v>
      </c>
      <c r="H91" s="15">
        <f>IFERROR(([1]!Tabela145[[#This Row],[CONTAGEM]])/([1]!Tabela145[[#This Row],[MEDIA DE VENDA]]/30),"")</f>
        <v>243.74999999999997</v>
      </c>
      <c r="I91" s="13" t="s">
        <v>26</v>
      </c>
      <c r="J91" s="13">
        <v>90</v>
      </c>
      <c r="K91" s="13" t="s">
        <v>27</v>
      </c>
      <c r="L91" s="13" t="s">
        <v>155</v>
      </c>
    </row>
    <row r="92" spans="1:12" x14ac:dyDescent="0.2">
      <c r="A92" s="6">
        <v>103</v>
      </c>
      <c r="B92" s="7" t="str">
        <f t="shared" si="1"/>
        <v>4722030</v>
      </c>
      <c r="C92" s="7">
        <v>472</v>
      </c>
      <c r="D92" s="7">
        <v>2030</v>
      </c>
      <c r="E92" s="8" t="s">
        <v>156</v>
      </c>
      <c r="F92" s="10">
        <v>518159.41666666669</v>
      </c>
      <c r="G92" s="16">
        <v>2305217</v>
      </c>
      <c r="H92" s="10">
        <f>IFERROR(([1]!Tabela145[[#This Row],[CONTAGEM]])/([1]!Tabela145[[#This Row],[MEDIA DE VENDA]]/30),"")</f>
        <v>129.89565631160357</v>
      </c>
      <c r="I92" s="8" t="s">
        <v>26</v>
      </c>
      <c r="J92" s="8">
        <v>90</v>
      </c>
      <c r="K92" s="8" t="s">
        <v>59</v>
      </c>
      <c r="L92" s="8" t="s">
        <v>100</v>
      </c>
    </row>
    <row r="93" spans="1:12" x14ac:dyDescent="0.2">
      <c r="A93" s="11">
        <v>25</v>
      </c>
      <c r="B93" s="7" t="str">
        <f t="shared" si="1"/>
        <v>988</v>
      </c>
      <c r="C93" s="12">
        <v>988</v>
      </c>
      <c r="D93" s="12" t="s">
        <v>12</v>
      </c>
      <c r="E93" s="13" t="s">
        <v>157</v>
      </c>
      <c r="F93" s="9">
        <v>2000</v>
      </c>
      <c r="G93" s="14">
        <v>18000</v>
      </c>
      <c r="H93" s="15">
        <f>IFERROR(([1]!Tabela145[[#This Row],[CONTAGEM]])/([1]!Tabela145[[#This Row],[MEDIA DE VENDA]]/30),"")</f>
        <v>186.75</v>
      </c>
      <c r="I93" s="13" t="s">
        <v>14</v>
      </c>
      <c r="J93" s="13"/>
      <c r="K93" s="13" t="s">
        <v>23</v>
      </c>
      <c r="L93" s="13" t="s">
        <v>24</v>
      </c>
    </row>
    <row r="94" spans="1:12" x14ac:dyDescent="0.2">
      <c r="A94" s="6">
        <v>69</v>
      </c>
      <c r="B94" s="7" t="str">
        <f t="shared" si="1"/>
        <v>1494</v>
      </c>
      <c r="C94" s="7">
        <v>1494</v>
      </c>
      <c r="D94" s="7" t="s">
        <v>12</v>
      </c>
      <c r="E94" s="8" t="s">
        <v>158</v>
      </c>
      <c r="F94" s="10">
        <v>2000</v>
      </c>
      <c r="G94" s="16">
        <v>21180</v>
      </c>
      <c r="H94" s="10">
        <f>IFERROR(([1]!Tabela145[[#This Row],[CONTAGEM]])/([1]!Tabela145[[#This Row],[MEDIA DE VENDA]]/30),"")</f>
        <v>133.46570143390554</v>
      </c>
      <c r="I94" s="8" t="s">
        <v>26</v>
      </c>
      <c r="J94" s="8">
        <v>90</v>
      </c>
      <c r="K94" s="8" t="s">
        <v>27</v>
      </c>
      <c r="L94" s="8" t="s">
        <v>37</v>
      </c>
    </row>
    <row r="95" spans="1:12" x14ac:dyDescent="0.2">
      <c r="A95" s="11">
        <v>95</v>
      </c>
      <c r="B95" s="7" t="str">
        <f t="shared" si="1"/>
        <v>49516</v>
      </c>
      <c r="C95" s="12">
        <v>495</v>
      </c>
      <c r="D95" s="12">
        <v>16</v>
      </c>
      <c r="E95" s="13" t="s">
        <v>159</v>
      </c>
      <c r="F95" s="15">
        <v>290542</v>
      </c>
      <c r="G95" s="14">
        <v>1309632</v>
      </c>
      <c r="H95" s="15">
        <f>IFERROR(([1]!Tabela145[[#This Row],[CONTAGEM]])/([1]!Tabela145[[#This Row],[MEDIA DE VENDA]]/30),"")</f>
        <v>270</v>
      </c>
      <c r="I95" s="13" t="s">
        <v>26</v>
      </c>
      <c r="J95" s="13">
        <v>90</v>
      </c>
      <c r="K95" s="13" t="s">
        <v>59</v>
      </c>
      <c r="L95" s="13" t="s">
        <v>85</v>
      </c>
    </row>
    <row r="96" spans="1:12" x14ac:dyDescent="0.2">
      <c r="A96" s="6">
        <v>84</v>
      </c>
      <c r="B96" s="7" t="str">
        <f t="shared" si="1"/>
        <v>15139020</v>
      </c>
      <c r="C96" s="7">
        <v>1513</v>
      </c>
      <c r="D96" s="7">
        <v>9020</v>
      </c>
      <c r="E96" s="8" t="s">
        <v>160</v>
      </c>
      <c r="F96" s="10">
        <v>3000</v>
      </c>
      <c r="G96" s="16">
        <v>10072</v>
      </c>
      <c r="H96" s="10">
        <f>IFERROR(([1]!Tabela145[[#This Row],[CONTAGEM]])/([1]!Tabela145[[#This Row],[MEDIA DE VENDA]]/30),"")</f>
        <v>317.7</v>
      </c>
      <c r="I96" s="8" t="s">
        <v>26</v>
      </c>
      <c r="J96" s="8">
        <v>75</v>
      </c>
      <c r="K96" s="8" t="s">
        <v>45</v>
      </c>
      <c r="L96" s="8" t="s">
        <v>69</v>
      </c>
    </row>
    <row r="97" spans="1:12" x14ac:dyDescent="0.2">
      <c r="A97" s="11">
        <v>29</v>
      </c>
      <c r="B97" s="7" t="str">
        <f t="shared" si="1"/>
        <v>1142</v>
      </c>
      <c r="C97" s="12">
        <v>1142</v>
      </c>
      <c r="D97" s="12" t="s">
        <v>12</v>
      </c>
      <c r="E97" s="13" t="s">
        <v>161</v>
      </c>
      <c r="F97" s="9">
        <v>5000</v>
      </c>
      <c r="G97" s="14">
        <v>54600</v>
      </c>
      <c r="H97" s="15">
        <f>IFERROR(([1]!Tabela145[[#This Row],[CONTAGEM]])/([1]!Tabela145[[#This Row],[MEDIA DE VENDA]]/30),"")</f>
        <v>135.22643886253965</v>
      </c>
      <c r="I97" s="13" t="s">
        <v>14</v>
      </c>
      <c r="J97" s="13">
        <v>120</v>
      </c>
      <c r="K97" s="13" t="s">
        <v>30</v>
      </c>
      <c r="L97" s="13"/>
    </row>
    <row r="98" spans="1:12" x14ac:dyDescent="0.2">
      <c r="A98" s="6">
        <v>91</v>
      </c>
      <c r="B98" s="7" t="str">
        <f t="shared" si="1"/>
        <v>5754</v>
      </c>
      <c r="C98" s="7">
        <v>575</v>
      </c>
      <c r="D98" s="7">
        <v>4</v>
      </c>
      <c r="E98" s="8" t="s">
        <v>162</v>
      </c>
      <c r="F98" s="10">
        <v>40430</v>
      </c>
      <c r="G98" s="16">
        <v>205208</v>
      </c>
      <c r="H98" s="10">
        <f>IFERROR(([1]!Tabela145[[#This Row],[CONTAGEM]])/([1]!Tabela145[[#This Row],[MEDIA DE VENDA]]/30),"")</f>
        <v>100.72</v>
      </c>
      <c r="I98" s="8" t="s">
        <v>26</v>
      </c>
      <c r="J98" s="8">
        <v>90</v>
      </c>
      <c r="K98" s="8" t="s">
        <v>59</v>
      </c>
      <c r="L98" s="8" t="s">
        <v>91</v>
      </c>
    </row>
    <row r="99" spans="1:12" x14ac:dyDescent="0.2">
      <c r="A99" s="11">
        <v>94</v>
      </c>
      <c r="B99" s="7" t="str">
        <f t="shared" si="1"/>
        <v>49412</v>
      </c>
      <c r="C99" s="12">
        <v>494</v>
      </c>
      <c r="D99" s="12">
        <v>12</v>
      </c>
      <c r="E99" s="13" t="s">
        <v>163</v>
      </c>
      <c r="F99" s="15">
        <v>169595.25</v>
      </c>
      <c r="G99" s="14">
        <v>866961</v>
      </c>
      <c r="H99" s="15">
        <f>IFERROR(([1]!Tabela145[[#This Row],[CONTAGEM]])/([1]!Tabela145[[#This Row],[MEDIA DE VENDA]]/30),"")</f>
        <v>327.60000000000002</v>
      </c>
      <c r="I99" s="13" t="s">
        <v>26</v>
      </c>
      <c r="J99" s="13">
        <v>90</v>
      </c>
      <c r="K99" s="13" t="s">
        <v>59</v>
      </c>
      <c r="L99" s="13" t="s">
        <v>73</v>
      </c>
    </row>
    <row r="100" spans="1:12" x14ac:dyDescent="0.2">
      <c r="A100" s="6">
        <v>36</v>
      </c>
      <c r="B100" s="7" t="str">
        <f t="shared" si="1"/>
        <v>1309</v>
      </c>
      <c r="C100" s="7">
        <v>1309</v>
      </c>
      <c r="D100" s="7" t="s">
        <v>12</v>
      </c>
      <c r="E100" s="8" t="s">
        <v>164</v>
      </c>
      <c r="F100" s="10">
        <v>2000</v>
      </c>
      <c r="G100" s="16">
        <v>30200</v>
      </c>
      <c r="H100" s="10">
        <f>IFERROR(([1]!Tabela145[[#This Row],[CONTAGEM]])/([1]!Tabela145[[#This Row],[MEDIA DE VENDA]]/30),"")</f>
        <v>152.26910709868909</v>
      </c>
      <c r="I100" s="8" t="s">
        <v>23</v>
      </c>
      <c r="J100" s="8"/>
      <c r="K100" s="8" t="s">
        <v>23</v>
      </c>
      <c r="L100" s="8" t="s">
        <v>23</v>
      </c>
    </row>
    <row r="101" spans="1:12" x14ac:dyDescent="0.2">
      <c r="A101" s="11">
        <v>83</v>
      </c>
      <c r="B101" s="7" t="str">
        <f t="shared" si="1"/>
        <v>15092055</v>
      </c>
      <c r="C101" s="12">
        <v>1509</v>
      </c>
      <c r="D101" s="12">
        <v>2055</v>
      </c>
      <c r="E101" s="13" t="s">
        <v>165</v>
      </c>
      <c r="F101" s="15">
        <v>600</v>
      </c>
      <c r="G101" s="14">
        <v>7930</v>
      </c>
      <c r="H101" s="15">
        <f>IFERROR(([1]!Tabela145[[#This Row],[CONTAGEM]])/([1]!Tabela145[[#This Row],[MEDIA DE VENDA]]/30),"")</f>
        <v>153.35824558765648</v>
      </c>
      <c r="I101" s="13" t="s">
        <v>26</v>
      </c>
      <c r="J101" s="13">
        <v>75</v>
      </c>
      <c r="K101" s="13" t="s">
        <v>45</v>
      </c>
      <c r="L101" s="13" t="s">
        <v>107</v>
      </c>
    </row>
    <row r="102" spans="1:12" x14ac:dyDescent="0.2">
      <c r="A102" s="6">
        <v>81</v>
      </c>
      <c r="B102" s="7" t="str">
        <f t="shared" si="1"/>
        <v>15112051</v>
      </c>
      <c r="C102" s="7">
        <v>1511</v>
      </c>
      <c r="D102" s="7">
        <v>2051</v>
      </c>
      <c r="E102" s="8" t="s">
        <v>166</v>
      </c>
      <c r="F102" s="10">
        <v>600</v>
      </c>
      <c r="G102" s="16">
        <v>11500</v>
      </c>
      <c r="H102" s="10">
        <f>IFERROR(([1]!Tabela145[[#This Row],[CONTAGEM]])/([1]!Tabela145[[#This Row],[MEDIA DE VENDA]]/30),"")</f>
        <v>452.99999999999994</v>
      </c>
      <c r="I102" s="8" t="s">
        <v>26</v>
      </c>
      <c r="J102" s="8">
        <v>75</v>
      </c>
      <c r="K102" s="8" t="s">
        <v>45</v>
      </c>
      <c r="L102" s="8" t="s">
        <v>104</v>
      </c>
    </row>
    <row r="103" spans="1:12" x14ac:dyDescent="0.2">
      <c r="A103" s="11">
        <v>85</v>
      </c>
      <c r="B103" s="7" t="str">
        <f t="shared" si="1"/>
        <v>12602050</v>
      </c>
      <c r="C103" s="12">
        <v>1260</v>
      </c>
      <c r="D103" s="12">
        <v>2050</v>
      </c>
      <c r="E103" s="13" t="s">
        <v>167</v>
      </c>
      <c r="F103" s="15">
        <v>3754</v>
      </c>
      <c r="G103" s="14">
        <v>91600</v>
      </c>
      <c r="H103" s="15">
        <f>IFERROR(([1]!Tabela145[[#This Row],[CONTAGEM]])/([1]!Tabela145[[#This Row],[MEDIA DE VENDA]]/30),"")</f>
        <v>396.5</v>
      </c>
      <c r="I103" s="13" t="s">
        <v>26</v>
      </c>
      <c r="J103" s="13">
        <v>75</v>
      </c>
      <c r="K103" s="13" t="s">
        <v>45</v>
      </c>
      <c r="L103" s="13" t="s">
        <v>100</v>
      </c>
    </row>
    <row r="104" spans="1:12" x14ac:dyDescent="0.2">
      <c r="A104" s="6">
        <v>72</v>
      </c>
      <c r="B104" s="7" t="str">
        <f t="shared" si="1"/>
        <v>5106</v>
      </c>
      <c r="C104" s="7">
        <v>510</v>
      </c>
      <c r="D104" s="7">
        <v>6</v>
      </c>
      <c r="E104" s="8" t="s">
        <v>168</v>
      </c>
      <c r="F104" s="10">
        <v>3973.5</v>
      </c>
      <c r="G104" s="16">
        <v>101588</v>
      </c>
      <c r="H104" s="10">
        <f>IFERROR(([1]!Tabela145[[#This Row],[CONTAGEM]])/([1]!Tabela145[[#This Row],[MEDIA DE VENDA]]/30),"")</f>
        <v>575</v>
      </c>
      <c r="I104" s="8" t="s">
        <v>26</v>
      </c>
      <c r="J104" s="8">
        <v>450</v>
      </c>
      <c r="K104" s="8" t="s">
        <v>59</v>
      </c>
      <c r="L104" s="8" t="s">
        <v>128</v>
      </c>
    </row>
    <row r="105" spans="1:12" x14ac:dyDescent="0.2">
      <c r="A105" s="11">
        <v>82</v>
      </c>
      <c r="B105" s="7" t="str">
        <f t="shared" si="1"/>
        <v>15102053</v>
      </c>
      <c r="C105" s="12">
        <v>1510</v>
      </c>
      <c r="D105" s="12">
        <v>2053</v>
      </c>
      <c r="E105" s="13" t="s">
        <v>169</v>
      </c>
      <c r="F105" s="15">
        <v>600</v>
      </c>
      <c r="G105" s="14">
        <v>19500</v>
      </c>
      <c r="H105" s="15">
        <f>IFERROR(([1]!Tabela145[[#This Row],[CONTAGEM]])/([1]!Tabela145[[#This Row],[MEDIA DE VENDA]]/30),"")</f>
        <v>732.01917954182204</v>
      </c>
      <c r="I105" s="13" t="s">
        <v>26</v>
      </c>
      <c r="J105" s="13">
        <v>75</v>
      </c>
      <c r="K105" s="13" t="s">
        <v>45</v>
      </c>
      <c r="L105" s="13" t="s">
        <v>119</v>
      </c>
    </row>
    <row r="106" spans="1:12" x14ac:dyDescent="0.2">
      <c r="A106" s="6">
        <v>18</v>
      </c>
      <c r="B106" s="7" t="str">
        <f t="shared" si="1"/>
        <v>1718</v>
      </c>
      <c r="C106" s="7">
        <v>1718</v>
      </c>
      <c r="D106" s="7" t="s">
        <v>12</v>
      </c>
      <c r="E106" s="8" t="s">
        <v>170</v>
      </c>
      <c r="F106" s="10">
        <v>30000</v>
      </c>
      <c r="G106" s="16">
        <v>6850</v>
      </c>
      <c r="H106" s="10">
        <f>IFERROR(([1]!Tabela145[[#This Row],[CONTAGEM]]*24)/([1]!Tabela145[[#This Row],[MEDIA DE VENDA]]/30),"")</f>
        <v>18407.791619479049</v>
      </c>
      <c r="I106" s="8" t="s">
        <v>22</v>
      </c>
      <c r="J106" s="8">
        <v>90</v>
      </c>
      <c r="K106" s="8" t="s">
        <v>59</v>
      </c>
      <c r="L106" s="8" t="s">
        <v>147</v>
      </c>
    </row>
    <row r="107" spans="1:12" x14ac:dyDescent="0.2">
      <c r="A107" s="11">
        <v>41</v>
      </c>
      <c r="B107" s="7" t="str">
        <f t="shared" si="1"/>
        <v>1663</v>
      </c>
      <c r="C107" s="12">
        <v>1663</v>
      </c>
      <c r="D107" s="12" t="s">
        <v>12</v>
      </c>
      <c r="E107" s="13" t="s">
        <v>171</v>
      </c>
      <c r="F107" s="9">
        <v>1000</v>
      </c>
      <c r="G107" s="14">
        <v>47000</v>
      </c>
      <c r="H107" s="15">
        <f>IFERROR(([1]!Tabela145[[#This Row],[CONTAGEM]])/([1]!Tabela145[[#This Row],[MEDIA DE VENDA]]/30),"")</f>
        <v>975</v>
      </c>
      <c r="I107" s="13" t="s">
        <v>26</v>
      </c>
      <c r="J107" s="13">
        <v>50</v>
      </c>
      <c r="K107" s="13" t="s">
        <v>15</v>
      </c>
      <c r="L107" s="13" t="s">
        <v>172</v>
      </c>
    </row>
    <row r="108" spans="1:12" x14ac:dyDescent="0.2">
      <c r="A108" s="6">
        <v>98</v>
      </c>
      <c r="B108" s="7" t="str">
        <f t="shared" si="1"/>
        <v>14325609</v>
      </c>
      <c r="C108" s="7">
        <v>1432</v>
      </c>
      <c r="D108" s="7">
        <v>5609</v>
      </c>
      <c r="E108" s="8" t="s">
        <v>173</v>
      </c>
      <c r="F108" s="10">
        <v>19920</v>
      </c>
      <c r="G108" s="16">
        <v>127835</v>
      </c>
      <c r="H108" s="10">
        <f>IFERROR(([1]!Tabela145[[#This Row],[CONTAGEM]])/([1]!Tabela145[[#This Row],[MEDIA DE VENDA]]/30),"")</f>
        <v>6.85</v>
      </c>
      <c r="I108" s="8" t="s">
        <v>26</v>
      </c>
      <c r="J108" s="8">
        <v>90</v>
      </c>
      <c r="K108" s="8" t="s">
        <v>59</v>
      </c>
      <c r="L108" s="8" t="s">
        <v>125</v>
      </c>
    </row>
    <row r="109" spans="1:12" x14ac:dyDescent="0.2">
      <c r="A109" s="11">
        <v>99</v>
      </c>
      <c r="B109" s="7" t="str">
        <f t="shared" si="1"/>
        <v>15439030</v>
      </c>
      <c r="C109" s="12">
        <v>1543</v>
      </c>
      <c r="D109" s="12">
        <v>9030</v>
      </c>
      <c r="E109" s="13" t="s">
        <v>174</v>
      </c>
      <c r="F109" s="15">
        <v>6079.833333333333</v>
      </c>
      <c r="G109" s="14">
        <v>68712</v>
      </c>
      <c r="H109" s="15">
        <f>IFERROR(([1]!Tabela145[[#This Row],[CONTAGEM]])/([1]!Tabela145[[#This Row],[MEDIA DE VENDA]]/30),"")</f>
        <v>1410</v>
      </c>
      <c r="I109" s="13" t="s">
        <v>26</v>
      </c>
      <c r="J109" s="13">
        <v>90</v>
      </c>
      <c r="K109" s="13" t="s">
        <v>59</v>
      </c>
      <c r="L109" s="13" t="s">
        <v>102</v>
      </c>
    </row>
    <row r="110" spans="1:12" x14ac:dyDescent="0.2">
      <c r="A110" s="6">
        <v>42</v>
      </c>
      <c r="B110" s="7" t="str">
        <f t="shared" si="1"/>
        <v>1664</v>
      </c>
      <c r="C110" s="7">
        <v>1664</v>
      </c>
      <c r="D110" s="7" t="s">
        <v>12</v>
      </c>
      <c r="E110" s="8" t="s">
        <v>175</v>
      </c>
      <c r="F110" s="9">
        <v>1000</v>
      </c>
      <c r="G110" s="16">
        <v>106000</v>
      </c>
      <c r="H110" s="10">
        <f>IFERROR(([1]!Tabela145[[#This Row],[CONTAGEM]])/([1]!Tabela145[[#This Row],[MEDIA DE VENDA]]/30),"")</f>
        <v>192.52259036144579</v>
      </c>
      <c r="I110" s="8" t="s">
        <v>26</v>
      </c>
      <c r="J110" s="8">
        <v>50</v>
      </c>
      <c r="K110" s="8" t="s">
        <v>15</v>
      </c>
      <c r="L110" s="8" t="s">
        <v>176</v>
      </c>
    </row>
    <row r="111" spans="1:12" x14ac:dyDescent="0.2">
      <c r="A111" s="11">
        <v>20</v>
      </c>
      <c r="B111" s="7" t="str">
        <f t="shared" si="1"/>
        <v>1707</v>
      </c>
      <c r="C111" s="12">
        <v>1707</v>
      </c>
      <c r="D111" s="12" t="s">
        <v>12</v>
      </c>
      <c r="E111" s="13" t="s">
        <v>177</v>
      </c>
      <c r="F111" s="15" t="s">
        <v>12</v>
      </c>
      <c r="G111" s="14">
        <v>4895</v>
      </c>
      <c r="H111" s="15">
        <f>IFERROR(([1]!Tabela145[[#This Row],[CONTAGEM]])/([1]!Tabela145[[#This Row],[MEDIA DE VENDA]]/30),"")</f>
        <v>339.04876778420464</v>
      </c>
      <c r="I111" s="13" t="s">
        <v>22</v>
      </c>
      <c r="J111" s="13"/>
      <c r="K111" s="13" t="s">
        <v>15</v>
      </c>
      <c r="L111" s="13"/>
    </row>
    <row r="112" spans="1:12" x14ac:dyDescent="0.2">
      <c r="A112" s="6">
        <v>21</v>
      </c>
      <c r="B112" s="7" t="str">
        <f t="shared" si="1"/>
        <v>1530</v>
      </c>
      <c r="C112" s="7">
        <v>1530</v>
      </c>
      <c r="D112" s="7" t="s">
        <v>12</v>
      </c>
      <c r="E112" s="8" t="s">
        <v>178</v>
      </c>
      <c r="F112" s="10" t="s">
        <v>12</v>
      </c>
      <c r="G112" s="16">
        <v>5600</v>
      </c>
      <c r="H112" s="10">
        <f>IFERROR(([1]!Tabela145[[#This Row],[CONTAGEM]])/([1]!Tabela145[[#This Row],[MEDIA DE VENDA]]/30),"")</f>
        <v>3180</v>
      </c>
      <c r="I112" s="8" t="s">
        <v>22</v>
      </c>
      <c r="J112" s="8"/>
      <c r="K112" s="8" t="s">
        <v>179</v>
      </c>
      <c r="L112" s="8"/>
    </row>
    <row r="113" spans="1:12" x14ac:dyDescent="0.2">
      <c r="A113" s="11">
        <v>22</v>
      </c>
      <c r="B113" s="7" t="str">
        <f t="shared" si="1"/>
        <v>381</v>
      </c>
      <c r="C113" s="12">
        <v>381</v>
      </c>
      <c r="D113" s="12" t="s">
        <v>12</v>
      </c>
      <c r="E113" s="13" t="s">
        <v>180</v>
      </c>
      <c r="F113" s="15">
        <v>3000</v>
      </c>
      <c r="G113" s="14">
        <v>4591</v>
      </c>
      <c r="H113" s="15" t="str">
        <f>IFERROR(([1]!Tabela145[[#This Row],[CONTAGEM]]*4)/([1]!Tabela145[[#This Row],[MEDIA DE VENDA]]/30),"")</f>
        <v/>
      </c>
      <c r="I113" s="13" t="s">
        <v>22</v>
      </c>
      <c r="J113" s="13">
        <v>4000</v>
      </c>
      <c r="K113" s="13" t="s">
        <v>18</v>
      </c>
      <c r="L113" s="13"/>
    </row>
    <row r="114" spans="1:12" x14ac:dyDescent="0.2">
      <c r="A114" s="6">
        <v>23</v>
      </c>
      <c r="B114" s="7" t="str">
        <f t="shared" si="1"/>
        <v>981</v>
      </c>
      <c r="C114" s="7">
        <v>981</v>
      </c>
      <c r="D114" s="7" t="s">
        <v>12</v>
      </c>
      <c r="E114" s="8" t="s">
        <v>181</v>
      </c>
      <c r="F114" s="10">
        <v>1500</v>
      </c>
      <c r="G114" s="16">
        <v>21100</v>
      </c>
      <c r="H114" s="10" t="str">
        <f>IFERROR(([1]!Tabela145[[#This Row],[CONTAGEM]])/([1]!Tabela145[[#This Row],[MEDIA DE VENDA]]/30),"")</f>
        <v/>
      </c>
      <c r="I114" s="8" t="s">
        <v>22</v>
      </c>
      <c r="J114" s="8"/>
      <c r="K114" s="8" t="s">
        <v>23</v>
      </c>
      <c r="L114" s="8" t="s">
        <v>24</v>
      </c>
    </row>
    <row r="115" spans="1:12" x14ac:dyDescent="0.2">
      <c r="A115" s="11">
        <v>107</v>
      </c>
      <c r="B115" s="7" t="str">
        <f t="shared" si="1"/>
        <v>1568</v>
      </c>
      <c r="C115" s="12">
        <v>1568</v>
      </c>
      <c r="D115" s="12" t="s">
        <v>12</v>
      </c>
      <c r="E115" s="13" t="s">
        <v>182</v>
      </c>
      <c r="F115" s="15" t="s">
        <v>12</v>
      </c>
      <c r="G115" s="14">
        <v>45000</v>
      </c>
      <c r="H115" s="15">
        <f>IFERROR(([1]!Tabela145[[#This Row],[CONTAGEM]])/([1]!Tabela145[[#This Row],[MEDIA DE VENDA]]/30),"")</f>
        <v>45.91</v>
      </c>
      <c r="I115" s="13" t="s">
        <v>48</v>
      </c>
      <c r="J115" s="13">
        <v>120</v>
      </c>
      <c r="K115" s="13" t="s">
        <v>30</v>
      </c>
      <c r="L115" s="13" t="s">
        <v>93</v>
      </c>
    </row>
    <row r="116" spans="1:12" x14ac:dyDescent="0.2">
      <c r="A116" s="6">
        <v>108</v>
      </c>
      <c r="B116" s="7" t="str">
        <f t="shared" si="1"/>
        <v>1566</v>
      </c>
      <c r="C116" s="7">
        <v>1566</v>
      </c>
      <c r="D116" s="7" t="s">
        <v>12</v>
      </c>
      <c r="E116" s="8" t="s">
        <v>183</v>
      </c>
      <c r="F116" s="10" t="s">
        <v>12</v>
      </c>
      <c r="G116" s="16">
        <v>48654</v>
      </c>
      <c r="H116" s="10">
        <f>IFERROR(([1]!Tabela145[[#This Row],[CONTAGEM]])/([1]!Tabela145[[#This Row],[MEDIA DE VENDA]]/30),"")</f>
        <v>422</v>
      </c>
      <c r="I116" s="8" t="s">
        <v>48</v>
      </c>
      <c r="J116" s="8">
        <v>120</v>
      </c>
      <c r="K116" s="8" t="s">
        <v>30</v>
      </c>
      <c r="L116" s="8" t="s">
        <v>64</v>
      </c>
    </row>
    <row r="117" spans="1:12" x14ac:dyDescent="0.2">
      <c r="A117" s="11">
        <v>109</v>
      </c>
      <c r="B117" s="7" t="str">
        <f t="shared" si="1"/>
        <v>1000</v>
      </c>
      <c r="C117" s="12">
        <v>1000</v>
      </c>
      <c r="D117" s="12" t="s">
        <v>12</v>
      </c>
      <c r="E117" s="13" t="s">
        <v>184</v>
      </c>
      <c r="F117" s="15" t="s">
        <v>12</v>
      </c>
      <c r="G117" s="14">
        <f>30000+5000</f>
        <v>35000</v>
      </c>
      <c r="H117" s="15" t="str">
        <f>IFERROR(([1]!Tabela145[[#This Row],[CONTAGEM]])/([1]!Tabela145[[#This Row],[MEDIA DE VENDA]]/30),"")</f>
        <v/>
      </c>
      <c r="I117" s="13" t="s">
        <v>48</v>
      </c>
      <c r="J117" s="13">
        <v>90</v>
      </c>
      <c r="K117" s="13" t="s">
        <v>27</v>
      </c>
      <c r="L117" s="13"/>
    </row>
    <row r="118" spans="1:12" x14ac:dyDescent="0.2">
      <c r="A118" s="6">
        <v>110</v>
      </c>
      <c r="B118" s="7" t="str">
        <f t="shared" si="1"/>
        <v>1567</v>
      </c>
      <c r="C118" s="7">
        <v>1567</v>
      </c>
      <c r="D118" s="7" t="s">
        <v>12</v>
      </c>
      <c r="E118" s="8" t="s">
        <v>185</v>
      </c>
      <c r="F118" s="10" t="s">
        <v>12</v>
      </c>
      <c r="G118" s="16">
        <v>33300</v>
      </c>
      <c r="H118" s="10" t="str">
        <f>IFERROR(([1]!Tabela145[[#This Row],[CONTAGEM]])/([1]!Tabela145[[#This Row],[MEDIA DE VENDA]]/30),"")</f>
        <v/>
      </c>
      <c r="I118" s="8" t="s">
        <v>48</v>
      </c>
      <c r="J118" s="8">
        <v>120</v>
      </c>
      <c r="K118" s="8" t="s">
        <v>30</v>
      </c>
      <c r="L118" s="8" t="s">
        <v>31</v>
      </c>
    </row>
    <row r="119" spans="1:12" x14ac:dyDescent="0.2">
      <c r="A119" s="11">
        <v>111</v>
      </c>
      <c r="B119" s="7" t="str">
        <f t="shared" si="1"/>
        <v>1574</v>
      </c>
      <c r="C119" s="12">
        <v>1574</v>
      </c>
      <c r="D119" s="12" t="s">
        <v>12</v>
      </c>
      <c r="E119" s="13" t="s">
        <v>186</v>
      </c>
      <c r="F119" s="15" t="s">
        <v>12</v>
      </c>
      <c r="G119" s="14">
        <v>20500</v>
      </c>
      <c r="H119" s="15" t="str">
        <f>IFERROR(([1]!Tabela145[[#This Row],[CONTAGEM]])/([1]!Tabela145[[#This Row],[MEDIA DE VENDA]]/30),"")</f>
        <v/>
      </c>
      <c r="I119" s="13" t="s">
        <v>48</v>
      </c>
      <c r="J119" s="13">
        <v>120</v>
      </c>
      <c r="K119" s="13" t="s">
        <v>20</v>
      </c>
      <c r="L119" s="13" t="s">
        <v>187</v>
      </c>
    </row>
    <row r="120" spans="1:12" x14ac:dyDescent="0.2">
      <c r="A120" s="6">
        <v>112</v>
      </c>
      <c r="B120" s="7" t="str">
        <f t="shared" si="1"/>
        <v>1570</v>
      </c>
      <c r="C120" s="7">
        <v>1570</v>
      </c>
      <c r="D120" s="7" t="s">
        <v>12</v>
      </c>
      <c r="E120" s="8" t="s">
        <v>188</v>
      </c>
      <c r="F120" s="10" t="s">
        <v>12</v>
      </c>
      <c r="G120" s="16">
        <v>48600</v>
      </c>
      <c r="H120" s="10" t="str">
        <f>IFERROR(([1]!Tabela145[[#This Row],[CONTAGEM]])/([1]!Tabela145[[#This Row],[MEDIA DE VENDA]]/30),"")</f>
        <v/>
      </c>
      <c r="I120" s="8" t="s">
        <v>48</v>
      </c>
      <c r="J120" s="8">
        <v>500</v>
      </c>
      <c r="K120" s="8" t="s">
        <v>30</v>
      </c>
      <c r="L120" s="8" t="s">
        <v>93</v>
      </c>
    </row>
    <row r="121" spans="1:12" x14ac:dyDescent="0.2">
      <c r="A121" s="11">
        <v>113</v>
      </c>
      <c r="B121" s="7" t="str">
        <f t="shared" si="1"/>
        <v>1569</v>
      </c>
      <c r="C121" s="12">
        <v>1569</v>
      </c>
      <c r="D121" s="12" t="s">
        <v>12</v>
      </c>
      <c r="E121" s="13" t="s">
        <v>189</v>
      </c>
      <c r="F121" s="15" t="s">
        <v>12</v>
      </c>
      <c r="G121" s="14">
        <v>49900</v>
      </c>
      <c r="H121" s="15" t="str">
        <f>IFERROR(([1]!Tabela145[[#This Row],[CONTAGEM]])/([1]!Tabela145[[#This Row],[MEDIA DE VENDA]]/30),"")</f>
        <v/>
      </c>
      <c r="I121" s="13" t="s">
        <v>48</v>
      </c>
      <c r="J121" s="13">
        <v>500</v>
      </c>
      <c r="K121" s="13" t="s">
        <v>30</v>
      </c>
      <c r="L121" s="13" t="s">
        <v>64</v>
      </c>
    </row>
    <row r="122" spans="1:12" x14ac:dyDescent="0.2">
      <c r="A122" s="6">
        <v>114</v>
      </c>
      <c r="B122" s="7" t="str">
        <f t="shared" si="1"/>
        <v>1608</v>
      </c>
      <c r="C122" s="7">
        <v>1608</v>
      </c>
      <c r="D122" s="7" t="s">
        <v>12</v>
      </c>
      <c r="E122" s="8" t="s">
        <v>190</v>
      </c>
      <c r="F122" s="10" t="s">
        <v>12</v>
      </c>
      <c r="G122" s="16">
        <v>21000</v>
      </c>
      <c r="H122" s="10" t="str">
        <f>IFERROR(([1]!Tabela145[[#This Row],[CONTAGEM]])/([1]!Tabela145[[#This Row],[MEDIA DE VENDA]]/30),"")</f>
        <v/>
      </c>
      <c r="I122" s="8" t="s">
        <v>48</v>
      </c>
      <c r="J122" s="8">
        <v>500</v>
      </c>
      <c r="K122" s="8" t="s">
        <v>30</v>
      </c>
      <c r="L122" s="8" t="s">
        <v>89</v>
      </c>
    </row>
    <row r="123" spans="1:12" x14ac:dyDescent="0.2">
      <c r="A123" s="11">
        <v>115</v>
      </c>
      <c r="B123" s="7" t="str">
        <f t="shared" si="1"/>
        <v>1564</v>
      </c>
      <c r="C123" s="12">
        <v>1564</v>
      </c>
      <c r="D123" s="12" t="s">
        <v>12</v>
      </c>
      <c r="E123" s="13" t="s">
        <v>191</v>
      </c>
      <c r="F123" s="15" t="s">
        <v>12</v>
      </c>
      <c r="G123" s="14">
        <v>30420</v>
      </c>
      <c r="H123" s="15" t="str">
        <f>IFERROR(([1]!Tabela145[[#This Row],[CONTAGEM]])/([1]!Tabela145[[#This Row],[MEDIA DE VENDA]]/30),"")</f>
        <v/>
      </c>
      <c r="I123" s="13" t="s">
        <v>48</v>
      </c>
      <c r="J123" s="13">
        <v>500</v>
      </c>
      <c r="K123" s="13" t="s">
        <v>30</v>
      </c>
      <c r="L123" s="13" t="s">
        <v>31</v>
      </c>
    </row>
    <row r="124" spans="1:12" x14ac:dyDescent="0.2">
      <c r="A124" s="6">
        <v>116</v>
      </c>
      <c r="B124" s="7" t="str">
        <f t="shared" si="1"/>
        <v>1587</v>
      </c>
      <c r="C124" s="7">
        <v>1587</v>
      </c>
      <c r="D124" s="7" t="s">
        <v>12</v>
      </c>
      <c r="E124" s="8" t="s">
        <v>192</v>
      </c>
      <c r="F124" s="10" t="s">
        <v>12</v>
      </c>
      <c r="G124" s="16">
        <v>17100</v>
      </c>
      <c r="H124" s="10" t="str">
        <f>IFERROR(([1]!Tabela145[[#This Row],[CONTAGEM]])/([1]!Tabela145[[#This Row],[MEDIA DE VENDA]]/30),"")</f>
        <v/>
      </c>
      <c r="I124" s="8" t="s">
        <v>48</v>
      </c>
      <c r="J124" s="8">
        <v>70</v>
      </c>
      <c r="K124" s="8" t="s">
        <v>20</v>
      </c>
      <c r="L124" s="8" t="s">
        <v>37</v>
      </c>
    </row>
    <row r="125" spans="1:12" x14ac:dyDescent="0.2">
      <c r="A125" s="11">
        <v>117</v>
      </c>
      <c r="B125" s="7" t="str">
        <f t="shared" si="1"/>
        <v>588</v>
      </c>
      <c r="C125" s="12">
        <v>588</v>
      </c>
      <c r="D125" s="12" t="s">
        <v>12</v>
      </c>
      <c r="E125" s="13" t="s">
        <v>193</v>
      </c>
      <c r="F125" s="15" t="s">
        <v>12</v>
      </c>
      <c r="G125" s="14">
        <v>2000</v>
      </c>
      <c r="H125" s="15" t="str">
        <f>IFERROR(([1]!Tabela145[[#This Row],[CONTAGEM]])/([1]!Tabela145[[#This Row],[MEDIA DE VENDA]]/30),"")</f>
        <v/>
      </c>
      <c r="I125" s="13" t="s">
        <v>48</v>
      </c>
      <c r="J125" s="13">
        <v>100</v>
      </c>
      <c r="K125" s="13" t="s">
        <v>15</v>
      </c>
      <c r="L125" s="13"/>
    </row>
    <row r="126" spans="1:12" x14ac:dyDescent="0.2">
      <c r="A126" s="6">
        <v>118</v>
      </c>
      <c r="B126" s="7" t="str">
        <f t="shared" si="1"/>
        <v>589</v>
      </c>
      <c r="C126" s="7">
        <v>589</v>
      </c>
      <c r="D126" s="7" t="s">
        <v>12</v>
      </c>
      <c r="E126" s="8" t="s">
        <v>194</v>
      </c>
      <c r="F126" s="10" t="s">
        <v>12</v>
      </c>
      <c r="G126" s="7">
        <v>0</v>
      </c>
      <c r="H126" s="10" t="str">
        <f>IFERROR(([1]!Tabela145[[#This Row],[CONTAGEM]])/([1]!Tabela145[[#This Row],[MEDIA DE VENDA]]/30),"")</f>
        <v/>
      </c>
      <c r="I126" s="8" t="s">
        <v>48</v>
      </c>
      <c r="J126" s="8">
        <v>100</v>
      </c>
      <c r="K126" s="8" t="s">
        <v>15</v>
      </c>
      <c r="L126" s="8"/>
    </row>
    <row r="127" spans="1:12" x14ac:dyDescent="0.2">
      <c r="A127" s="11">
        <v>126</v>
      </c>
      <c r="B127" s="7" t="str">
        <f t="shared" si="1"/>
        <v>367</v>
      </c>
      <c r="C127" s="12">
        <v>367</v>
      </c>
      <c r="D127" s="12" t="s">
        <v>12</v>
      </c>
      <c r="E127" s="13" t="s">
        <v>195</v>
      </c>
      <c r="F127" s="15" t="s">
        <v>12</v>
      </c>
      <c r="G127" s="14">
        <v>4346</v>
      </c>
      <c r="H127" s="15" t="str">
        <f>IFERROR(([1]!Tabela145[[#This Row],[CONTAGEM]])/([1]!Tabela145[[#This Row],[MEDIA DE VENDA]]/30),"")</f>
        <v/>
      </c>
      <c r="I127" s="13" t="s">
        <v>48</v>
      </c>
      <c r="J127" s="13">
        <v>240</v>
      </c>
      <c r="K127" s="13" t="s">
        <v>15</v>
      </c>
      <c r="L127" s="13"/>
    </row>
    <row r="128" spans="1:12" x14ac:dyDescent="0.2">
      <c r="A128" s="6">
        <v>127</v>
      </c>
      <c r="B128" s="7" t="str">
        <f t="shared" si="1"/>
        <v>368</v>
      </c>
      <c r="C128" s="7">
        <v>368</v>
      </c>
      <c r="D128" s="7" t="s">
        <v>12</v>
      </c>
      <c r="E128" s="8" t="s">
        <v>196</v>
      </c>
      <c r="F128" s="10" t="s">
        <v>12</v>
      </c>
      <c r="G128" s="7">
        <v>0</v>
      </c>
      <c r="H128" s="10" t="str">
        <f>IFERROR(([1]!Tabela145[[#This Row],[CONTAGEM]])/([1]!Tabela145[[#This Row],[MEDIA DE VENDA]]/30),"")</f>
        <v/>
      </c>
      <c r="I128" s="8" t="s">
        <v>48</v>
      </c>
      <c r="J128" s="8">
        <v>240</v>
      </c>
      <c r="K128" s="8" t="s">
        <v>15</v>
      </c>
      <c r="L128" s="8"/>
    </row>
    <row r="129" spans="1:12" x14ac:dyDescent="0.2">
      <c r="A129" s="11">
        <v>128</v>
      </c>
      <c r="B129" s="7" t="str">
        <f t="shared" si="1"/>
        <v>1341</v>
      </c>
      <c r="C129" s="12">
        <v>1341</v>
      </c>
      <c r="D129" s="12" t="s">
        <v>12</v>
      </c>
      <c r="E129" s="13" t="s">
        <v>197</v>
      </c>
      <c r="F129" s="15" t="s">
        <v>12</v>
      </c>
      <c r="G129" s="14">
        <v>3252</v>
      </c>
      <c r="H129" s="15" t="str">
        <f>IFERROR(([1]!Tabela145[[#This Row],[CONTAGEM]])/([1]!Tabela145[[#This Row],[MEDIA DE VENDA]]/30),"")</f>
        <v/>
      </c>
      <c r="I129" s="13" t="s">
        <v>198</v>
      </c>
      <c r="J129" s="13">
        <v>500</v>
      </c>
      <c r="K129" s="13" t="s">
        <v>20</v>
      </c>
      <c r="L129" s="13"/>
    </row>
    <row r="130" spans="1:12" x14ac:dyDescent="0.2">
      <c r="A130" s="6">
        <v>102</v>
      </c>
      <c r="B130" s="7" t="str">
        <f t="shared" si="1"/>
        <v>1701</v>
      </c>
      <c r="C130" s="7">
        <v>1701</v>
      </c>
      <c r="D130" s="7" t="s">
        <v>12</v>
      </c>
      <c r="E130" s="8" t="s">
        <v>199</v>
      </c>
      <c r="F130" s="10" t="s">
        <v>12</v>
      </c>
      <c r="G130" s="16">
        <v>182314</v>
      </c>
      <c r="H130" s="10" t="str">
        <f>IFERROR(([1]!Tabela145[[#This Row],[CONTAGEM]])/([1]!Tabela145[[#This Row],[MEDIA DE VENDA]]/30),"")</f>
        <v/>
      </c>
      <c r="I130" s="8" t="s">
        <v>26</v>
      </c>
      <c r="J130" s="8">
        <v>90</v>
      </c>
      <c r="K130" s="8" t="s">
        <v>59</v>
      </c>
      <c r="L130" s="8" t="s">
        <v>133</v>
      </c>
    </row>
    <row r="131" spans="1:12" x14ac:dyDescent="0.2">
      <c r="A131" s="11">
        <v>129</v>
      </c>
      <c r="B131" s="7" t="str">
        <f t="shared" ref="B131:B153" si="2">CONCATENATE(C131,D131)</f>
        <v/>
      </c>
      <c r="C131" s="12"/>
      <c r="D131" s="12"/>
      <c r="E131" s="13" t="s">
        <v>200</v>
      </c>
      <c r="F131" s="15"/>
      <c r="G131" s="14"/>
      <c r="H131" s="15" t="str">
        <f>IFERROR(([1]!Tabela145[[#This Row],[CONTAGEM]])/([1]!Tabela145[[#This Row],[MEDIA DE VENDA]]/30),"")</f>
        <v/>
      </c>
      <c r="I131" s="13" t="s">
        <v>26</v>
      </c>
      <c r="J131" s="18"/>
      <c r="K131" s="19" t="s">
        <v>20</v>
      </c>
      <c r="L131" s="15" t="s">
        <v>116</v>
      </c>
    </row>
    <row r="132" spans="1:12" x14ac:dyDescent="0.2">
      <c r="A132" s="6">
        <v>130</v>
      </c>
      <c r="B132" s="7" t="str">
        <f t="shared" si="2"/>
        <v/>
      </c>
      <c r="C132" s="7"/>
      <c r="D132" s="7"/>
      <c r="E132" s="8" t="s">
        <v>201</v>
      </c>
      <c r="F132" s="10"/>
      <c r="G132" s="16"/>
      <c r="H132" s="10" t="str">
        <f>IFERROR(([1]!Tabela145[[#This Row],[CONTAGEM]])/([1]!Tabela145[[#This Row],[MEDIA DE VENDA]]/30),"")</f>
        <v/>
      </c>
      <c r="I132" s="8" t="s">
        <v>26</v>
      </c>
      <c r="J132" s="20"/>
      <c r="K132" s="21" t="s">
        <v>20</v>
      </c>
      <c r="L132" s="10" t="s">
        <v>87</v>
      </c>
    </row>
    <row r="133" spans="1:12" x14ac:dyDescent="0.2">
      <c r="A133" s="11">
        <v>132</v>
      </c>
      <c r="B133" s="7" t="str">
        <f t="shared" si="2"/>
        <v/>
      </c>
      <c r="C133" s="12"/>
      <c r="D133" s="12"/>
      <c r="E133" s="13" t="s">
        <v>202</v>
      </c>
      <c r="F133" s="15"/>
      <c r="G133" s="14"/>
      <c r="H133" s="15" t="str">
        <f>IFERROR(([1]!Tabela145[[#This Row],[CONTAGEM]])/([1]!Tabela145[[#This Row],[MEDIA DE VENDA]]/30),"")</f>
        <v/>
      </c>
      <c r="I133" s="13" t="s">
        <v>26</v>
      </c>
      <c r="J133" s="18"/>
      <c r="K133" s="19" t="s">
        <v>30</v>
      </c>
      <c r="L133" s="15" t="s">
        <v>89</v>
      </c>
    </row>
    <row r="134" spans="1:12" x14ac:dyDescent="0.2">
      <c r="A134" s="6">
        <v>133</v>
      </c>
      <c r="B134" s="7" t="str">
        <f t="shared" si="2"/>
        <v/>
      </c>
      <c r="C134" s="7"/>
      <c r="D134" s="7"/>
      <c r="E134" s="8" t="s">
        <v>203</v>
      </c>
      <c r="F134" s="10"/>
      <c r="G134" s="16"/>
      <c r="H134" s="10" t="str">
        <f>IFERROR(([1]!Tabela145[[#This Row],[CONTAGEM]])/([1]!Tabela145[[#This Row],[MEDIA DE VENDA]]/30),"")</f>
        <v/>
      </c>
      <c r="I134" s="8" t="s">
        <v>26</v>
      </c>
      <c r="J134" s="20"/>
      <c r="K134" s="21" t="s">
        <v>30</v>
      </c>
      <c r="L134" s="10" t="s">
        <v>31</v>
      </c>
    </row>
    <row r="135" spans="1:12" x14ac:dyDescent="0.2">
      <c r="A135" s="11">
        <v>134</v>
      </c>
      <c r="B135" s="7" t="str">
        <f t="shared" si="2"/>
        <v/>
      </c>
      <c r="C135" s="12"/>
      <c r="D135" s="12"/>
      <c r="E135" s="13" t="s">
        <v>204</v>
      </c>
      <c r="F135" s="15"/>
      <c r="G135" s="14"/>
      <c r="H135" s="15" t="str">
        <f>IFERROR(([1]!Tabela145[[#This Row],[CONTAGEM]])/([1]!Tabela145[[#This Row],[MEDIA DE VENDA]]/30),"")</f>
        <v/>
      </c>
      <c r="I135" s="13" t="s">
        <v>26</v>
      </c>
      <c r="J135" s="18"/>
      <c r="K135" s="19" t="s">
        <v>30</v>
      </c>
      <c r="L135" s="15" t="s">
        <v>31</v>
      </c>
    </row>
    <row r="136" spans="1:12" x14ac:dyDescent="0.2">
      <c r="A136" s="6">
        <v>135</v>
      </c>
      <c r="B136" s="7" t="str">
        <f t="shared" si="2"/>
        <v/>
      </c>
      <c r="C136" s="7"/>
      <c r="D136" s="7"/>
      <c r="E136" s="8" t="s">
        <v>205</v>
      </c>
      <c r="F136" s="10"/>
      <c r="G136" s="16"/>
      <c r="H136" s="10" t="str">
        <f>IFERROR(([1]!Tabela145[[#This Row],[CONTAGEM]])/([1]!Tabela145[[#This Row],[MEDIA DE VENDA]]/30),"")</f>
        <v/>
      </c>
      <c r="I136" s="8" t="s">
        <v>26</v>
      </c>
      <c r="J136" s="20"/>
      <c r="K136" s="21" t="s">
        <v>30</v>
      </c>
      <c r="L136" s="10" t="s">
        <v>64</v>
      </c>
    </row>
    <row r="137" spans="1:12" x14ac:dyDescent="0.2">
      <c r="A137" s="11">
        <v>136</v>
      </c>
      <c r="B137" s="7" t="str">
        <f t="shared" si="2"/>
        <v/>
      </c>
      <c r="C137" s="12"/>
      <c r="D137" s="12"/>
      <c r="E137" s="13" t="s">
        <v>206</v>
      </c>
      <c r="F137" s="15"/>
      <c r="G137" s="14"/>
      <c r="H137" s="15" t="str">
        <f>IFERROR(([1]!Tabela145[[#This Row],[CONTAGEM]])/([1]!Tabela145[[#This Row],[MEDIA DE VENDA]]/30),"")</f>
        <v/>
      </c>
      <c r="I137" s="13" t="s">
        <v>26</v>
      </c>
      <c r="J137" s="18"/>
      <c r="K137" s="19" t="s">
        <v>30</v>
      </c>
      <c r="L137" s="15" t="s">
        <v>64</v>
      </c>
    </row>
    <row r="138" spans="1:12" x14ac:dyDescent="0.2">
      <c r="A138" s="6">
        <v>137</v>
      </c>
      <c r="B138" s="7" t="str">
        <f t="shared" si="2"/>
        <v/>
      </c>
      <c r="C138" s="7"/>
      <c r="D138" s="7"/>
      <c r="E138" s="8" t="s">
        <v>207</v>
      </c>
      <c r="F138" s="10"/>
      <c r="G138" s="16"/>
      <c r="H138" s="10" t="str">
        <f>IFERROR(([1]!Tabela145[[#This Row],[CONTAGEM]])/([1]!Tabela145[[#This Row],[MEDIA DE VENDA]]/30),"")</f>
        <v/>
      </c>
      <c r="I138" s="8" t="s">
        <v>26</v>
      </c>
      <c r="J138" s="20"/>
      <c r="K138" s="21" t="s">
        <v>30</v>
      </c>
      <c r="L138" s="10" t="s">
        <v>93</v>
      </c>
    </row>
    <row r="139" spans="1:12" x14ac:dyDescent="0.2">
      <c r="A139" s="11">
        <v>138</v>
      </c>
      <c r="B139" s="7" t="str">
        <f t="shared" si="2"/>
        <v/>
      </c>
      <c r="C139" s="12"/>
      <c r="D139" s="12"/>
      <c r="E139" s="13" t="s">
        <v>208</v>
      </c>
      <c r="F139" s="15"/>
      <c r="G139" s="14"/>
      <c r="H139" s="15" t="str">
        <f>IFERROR(([1]!Tabela145[[#This Row],[CONTAGEM]])/([1]!Tabela145[[#This Row],[MEDIA DE VENDA]]/30),"")</f>
        <v/>
      </c>
      <c r="I139" s="13" t="s">
        <v>26</v>
      </c>
      <c r="J139" s="18"/>
      <c r="K139" s="19" t="s">
        <v>30</v>
      </c>
      <c r="L139" s="15" t="s">
        <v>93</v>
      </c>
    </row>
    <row r="140" spans="1:12" x14ac:dyDescent="0.2">
      <c r="A140" s="6">
        <v>139</v>
      </c>
      <c r="B140" s="7" t="str">
        <f t="shared" si="2"/>
        <v/>
      </c>
      <c r="C140" s="7"/>
      <c r="D140" s="7"/>
      <c r="E140" s="8" t="s">
        <v>209</v>
      </c>
      <c r="F140" s="10"/>
      <c r="G140" s="16"/>
      <c r="H140" s="10" t="str">
        <f>IFERROR(([1]!Tabela145[[#This Row],[CONTAGEM]])/([1]!Tabela145[[#This Row],[MEDIA DE VENDA]]/30),"")</f>
        <v/>
      </c>
      <c r="I140" s="8" t="s">
        <v>26</v>
      </c>
      <c r="J140" s="20"/>
      <c r="K140" s="8" t="s">
        <v>27</v>
      </c>
      <c r="L140" s="10" t="s">
        <v>28</v>
      </c>
    </row>
    <row r="141" spans="1:12" x14ac:dyDescent="0.2">
      <c r="A141" s="11">
        <v>140</v>
      </c>
      <c r="B141" s="7" t="str">
        <f t="shared" si="2"/>
        <v/>
      </c>
      <c r="C141" s="12"/>
      <c r="D141" s="12"/>
      <c r="E141" s="13" t="s">
        <v>210</v>
      </c>
      <c r="F141" s="15"/>
      <c r="G141" s="14"/>
      <c r="H141" s="15" t="str">
        <f>IFERROR(([1]!Tabela145[[#This Row],[CONTAGEM]])/([1]!Tabela145[[#This Row],[MEDIA DE VENDA]]/30),"")</f>
        <v/>
      </c>
      <c r="I141" s="13" t="s">
        <v>26</v>
      </c>
      <c r="J141" s="18"/>
      <c r="K141" s="13" t="s">
        <v>27</v>
      </c>
      <c r="L141" s="15" t="s">
        <v>155</v>
      </c>
    </row>
    <row r="142" spans="1:12" x14ac:dyDescent="0.2">
      <c r="A142" s="22">
        <v>142</v>
      </c>
      <c r="B142" s="7" t="str">
        <f t="shared" si="2"/>
        <v/>
      </c>
      <c r="C142" s="7"/>
      <c r="D142" s="7"/>
      <c r="E142" s="8" t="s">
        <v>211</v>
      </c>
      <c r="F142" s="10"/>
      <c r="G142" s="16"/>
      <c r="H142" s="10" t="str">
        <f>IFERROR(([1]!Tabela145[[#This Row],[CONTAGEM]])/([1]!Tabela145[[#This Row],[MEDIA DE VENDA]]/30),"")</f>
        <v/>
      </c>
      <c r="I142" s="8" t="s">
        <v>26</v>
      </c>
      <c r="J142" s="20"/>
      <c r="K142" s="8" t="s">
        <v>27</v>
      </c>
      <c r="L142" s="10" t="s">
        <v>83</v>
      </c>
    </row>
    <row r="143" spans="1:12" x14ac:dyDescent="0.2">
      <c r="A143" s="23">
        <v>143</v>
      </c>
      <c r="B143" s="7" t="str">
        <f t="shared" si="2"/>
        <v/>
      </c>
      <c r="C143" s="12"/>
      <c r="D143" s="12"/>
      <c r="E143" s="13" t="s">
        <v>212</v>
      </c>
      <c r="F143" s="15"/>
      <c r="G143" s="14"/>
      <c r="H143" s="15" t="str">
        <f>IFERROR(([1]!Tabela145[[#This Row],[CONTAGEM]])/([1]!Tabela145[[#This Row],[MEDIA DE VENDA]]/30),"")</f>
        <v/>
      </c>
      <c r="I143" s="13" t="s">
        <v>26</v>
      </c>
      <c r="J143" s="18"/>
      <c r="K143" s="13" t="s">
        <v>27</v>
      </c>
      <c r="L143" s="15" t="s">
        <v>113</v>
      </c>
    </row>
    <row r="144" spans="1:12" x14ac:dyDescent="0.2">
      <c r="A144" s="22">
        <v>144</v>
      </c>
      <c r="B144" s="7" t="str">
        <f t="shared" si="2"/>
        <v/>
      </c>
      <c r="C144" s="7"/>
      <c r="D144" s="7"/>
      <c r="E144" s="8" t="s">
        <v>213</v>
      </c>
      <c r="F144" s="10"/>
      <c r="G144" s="16"/>
      <c r="H144" s="10" t="str">
        <f>IFERROR(([1]!Tabela145[[#This Row],[CONTAGEM]])/([1]!Tabela145[[#This Row],[MEDIA DE VENDA]]/30),"")</f>
        <v/>
      </c>
      <c r="I144" s="8" t="s">
        <v>26</v>
      </c>
      <c r="J144" s="20"/>
      <c r="K144" s="8" t="s">
        <v>27</v>
      </c>
      <c r="L144" s="10" t="s">
        <v>135</v>
      </c>
    </row>
    <row r="145" spans="1:12" x14ac:dyDescent="0.2">
      <c r="A145" s="23">
        <v>145</v>
      </c>
      <c r="B145" s="7" t="str">
        <f t="shared" si="2"/>
        <v/>
      </c>
      <c r="C145" s="12"/>
      <c r="D145" s="12"/>
      <c r="E145" s="13" t="s">
        <v>214</v>
      </c>
      <c r="F145" s="15"/>
      <c r="G145" s="14"/>
      <c r="H145" s="15" t="str">
        <f>IFERROR(([1]!Tabela145[[#This Row],[CONTAGEM]])/([1]!Tabela145[[#This Row],[MEDIA DE VENDA]]/30),"")</f>
        <v/>
      </c>
      <c r="I145" s="13" t="s">
        <v>26</v>
      </c>
      <c r="J145" s="18"/>
      <c r="K145" s="13" t="s">
        <v>27</v>
      </c>
      <c r="L145" s="15" t="s">
        <v>53</v>
      </c>
    </row>
    <row r="146" spans="1:12" x14ac:dyDescent="0.2">
      <c r="A146" s="22">
        <v>146</v>
      </c>
      <c r="B146" s="7" t="str">
        <f t="shared" si="2"/>
        <v/>
      </c>
      <c r="C146" s="7"/>
      <c r="D146" s="7"/>
      <c r="E146" s="8" t="s">
        <v>215</v>
      </c>
      <c r="F146" s="10"/>
      <c r="G146" s="16"/>
      <c r="H146" s="10" t="str">
        <f>IFERROR(([1]!Tabela145[[#This Row],[CONTAGEM]])/([1]!Tabela145[[#This Row],[MEDIA DE VENDA]]/30),"")</f>
        <v/>
      </c>
      <c r="I146" s="8" t="s">
        <v>26</v>
      </c>
      <c r="J146" s="20"/>
      <c r="K146" s="8" t="s">
        <v>27</v>
      </c>
      <c r="L146" s="10" t="s">
        <v>46</v>
      </c>
    </row>
    <row r="147" spans="1:12" x14ac:dyDescent="0.2">
      <c r="A147" s="23">
        <v>147</v>
      </c>
      <c r="B147" s="7" t="str">
        <f t="shared" si="2"/>
        <v/>
      </c>
      <c r="C147" s="12"/>
      <c r="D147" s="12"/>
      <c r="E147" s="13" t="s">
        <v>216</v>
      </c>
      <c r="F147" s="15"/>
      <c r="G147" s="14"/>
      <c r="H147" s="15" t="str">
        <f>IFERROR(([1]!Tabela145[[#This Row],[CONTAGEM]])/([1]!Tabela145[[#This Row],[MEDIA DE VENDA]]/30),"")</f>
        <v/>
      </c>
      <c r="I147" s="13" t="s">
        <v>26</v>
      </c>
      <c r="J147" s="18"/>
      <c r="K147" s="13" t="s">
        <v>27</v>
      </c>
      <c r="L147" s="15" t="s">
        <v>35</v>
      </c>
    </row>
    <row r="148" spans="1:12" x14ac:dyDescent="0.2">
      <c r="A148" s="22">
        <v>148</v>
      </c>
      <c r="B148" s="7" t="str">
        <f t="shared" si="2"/>
        <v/>
      </c>
      <c r="C148" s="7"/>
      <c r="D148" s="7"/>
      <c r="E148" s="8" t="s">
        <v>217</v>
      </c>
      <c r="F148" s="10"/>
      <c r="G148" s="16"/>
      <c r="H148" s="10" t="str">
        <f>IFERROR(([1]!Tabela145[[#This Row],[CONTAGEM]])/([1]!Tabela145[[#This Row],[MEDIA DE VENDA]]/30),"")</f>
        <v/>
      </c>
      <c r="I148" s="8" t="s">
        <v>26</v>
      </c>
      <c r="J148" s="20"/>
      <c r="K148" s="21" t="s">
        <v>20</v>
      </c>
      <c r="L148" s="10" t="s">
        <v>57</v>
      </c>
    </row>
    <row r="149" spans="1:12" x14ac:dyDescent="0.2">
      <c r="A149" s="23">
        <v>149</v>
      </c>
      <c r="B149" s="7" t="str">
        <f t="shared" si="2"/>
        <v/>
      </c>
      <c r="C149" s="12"/>
      <c r="D149" s="12"/>
      <c r="E149" s="13" t="s">
        <v>218</v>
      </c>
      <c r="F149" s="15"/>
      <c r="G149" s="14"/>
      <c r="H149" s="15" t="str">
        <f>IFERROR(([1]!Tabela145[[#This Row],[CONTAGEM]])/([1]!Tabela145[[#This Row],[MEDIA DE VENDA]]/30),"")</f>
        <v/>
      </c>
      <c r="I149" s="13" t="s">
        <v>26</v>
      </c>
      <c r="J149" s="18"/>
      <c r="K149" s="19" t="s">
        <v>20</v>
      </c>
      <c r="L149" s="15" t="s">
        <v>66</v>
      </c>
    </row>
    <row r="150" spans="1:12" x14ac:dyDescent="0.2">
      <c r="A150" s="22">
        <v>150</v>
      </c>
      <c r="B150" s="7" t="str">
        <f t="shared" si="2"/>
        <v/>
      </c>
      <c r="C150" s="7"/>
      <c r="D150" s="7"/>
      <c r="E150" s="8" t="s">
        <v>219</v>
      </c>
      <c r="F150" s="10"/>
      <c r="G150" s="16"/>
      <c r="H150" s="10" t="str">
        <f>IFERROR(([1]!Tabela145[[#This Row],[CONTAGEM]])/([1]!Tabela145[[#This Row],[MEDIA DE VENDA]]/30),"")</f>
        <v/>
      </c>
      <c r="I150" s="8" t="s">
        <v>26</v>
      </c>
      <c r="J150" s="20"/>
      <c r="K150" s="21" t="s">
        <v>20</v>
      </c>
      <c r="L150" s="10" t="s">
        <v>55</v>
      </c>
    </row>
    <row r="151" spans="1:12" x14ac:dyDescent="0.2">
      <c r="A151" s="23">
        <v>151</v>
      </c>
      <c r="B151" s="7" t="str">
        <f t="shared" si="2"/>
        <v/>
      </c>
      <c r="C151" s="12"/>
      <c r="D151" s="12"/>
      <c r="E151" s="13" t="s">
        <v>220</v>
      </c>
      <c r="F151" s="15"/>
      <c r="G151" s="14"/>
      <c r="H151" s="15" t="str">
        <f>IFERROR(([1]!Tabela145[[#This Row],[CONTAGEM]])/([1]!Tabela145[[#This Row],[MEDIA DE VENDA]]/30),"")</f>
        <v/>
      </c>
      <c r="I151" s="13" t="s">
        <v>26</v>
      </c>
      <c r="J151" s="18"/>
      <c r="K151" s="19" t="s">
        <v>20</v>
      </c>
      <c r="L151" s="15" t="s">
        <v>76</v>
      </c>
    </row>
    <row r="152" spans="1:12" x14ac:dyDescent="0.2">
      <c r="A152" s="22">
        <v>152</v>
      </c>
      <c r="B152" s="7" t="str">
        <f t="shared" si="2"/>
        <v/>
      </c>
      <c r="C152" s="7"/>
      <c r="D152" s="7"/>
      <c r="E152" s="8" t="s">
        <v>221</v>
      </c>
      <c r="F152" s="10"/>
      <c r="G152" s="16"/>
      <c r="H152" s="10" t="str">
        <f>IFERROR(([1]!Tabela145[[#This Row],[CONTAGEM]])/([1]!Tabela145[[#This Row],[MEDIA DE VENDA]]/30),"")</f>
        <v/>
      </c>
      <c r="I152" s="8" t="s">
        <v>26</v>
      </c>
      <c r="J152" s="20"/>
      <c r="K152" s="21" t="s">
        <v>20</v>
      </c>
      <c r="L152" s="10" t="s">
        <v>150</v>
      </c>
    </row>
    <row r="153" spans="1:12" x14ac:dyDescent="0.2">
      <c r="A153" s="24">
        <v>153</v>
      </c>
      <c r="B153" s="7" t="str">
        <f t="shared" si="2"/>
        <v/>
      </c>
      <c r="C153" s="26"/>
      <c r="D153" s="26"/>
      <c r="E153" s="27" t="s">
        <v>222</v>
      </c>
      <c r="F153" s="28"/>
      <c r="G153" s="25"/>
      <c r="H153" s="28" t="str">
        <f>IFERROR(([1]!Tabela145[[#This Row],[CONTAGEM]])/([1]!Tabela145[[#This Row],[MEDIA DE VENDA]]/30),"")</f>
        <v/>
      </c>
      <c r="I153" s="27" t="s">
        <v>26</v>
      </c>
      <c r="J153" s="29"/>
      <c r="K153" s="30" t="s">
        <v>20</v>
      </c>
      <c r="L153" s="28" t="s">
        <v>37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Edvam PCP</dc:creator>
  <cp:lastModifiedBy>Edvam PCP</cp:lastModifiedBy>
  <dcterms:created xsi:type="dcterms:W3CDTF">2026-05-13T19:00:22Z</dcterms:created>
  <dcterms:modified xsi:type="dcterms:W3CDTF">2026-05-14T13:19:32Z</dcterms:modified>
</cp:coreProperties>
</file>